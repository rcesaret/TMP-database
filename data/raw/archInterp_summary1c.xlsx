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 McMote\ASU Dropbox\Rudolf Cesaretti\GitHubRepos\TMP-database\data\raw\"/>
    </mc:Choice>
  </mc:AlternateContent>
  <xr:revisionPtr revIDLastSave="0" documentId="8_{2E1867A8-955E-4787-8832-FE6062FD6676}" xr6:coauthVersionLast="47" xr6:coauthVersionMax="47" xr10:uidLastSave="{00000000-0000-0000-0000-000000000000}"/>
  <bookViews>
    <workbookView xWindow="2655" yWindow="735" windowWidth="23355" windowHeight="13950" activeTab="1" xr2:uid="{201719F1-7C3A-498D-B909-AB270992E1C0}"/>
  </bookViews>
  <sheets>
    <sheet name="archInterp_summary1c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P169" i="2" l="1"/>
  <c r="P146" i="2"/>
  <c r="P61" i="2"/>
  <c r="P147" i="2"/>
  <c r="P119" i="2"/>
  <c r="Q133" i="2"/>
  <c r="P133" i="2"/>
  <c r="Q135" i="2"/>
  <c r="P135" i="2"/>
  <c r="P137" i="2"/>
  <c r="P152" i="2"/>
  <c r="Q192" i="2"/>
  <c r="P192" i="2"/>
  <c r="P182" i="2"/>
  <c r="P81" i="2"/>
  <c r="P191" i="2"/>
  <c r="P117" i="2"/>
  <c r="Q115" i="2"/>
  <c r="P115" i="2"/>
  <c r="Q33" i="2"/>
  <c r="P33" i="2"/>
  <c r="Q29" i="2"/>
  <c r="P29" i="2"/>
  <c r="Q17" i="2"/>
  <c r="P17" i="2"/>
  <c r="Q18" i="2"/>
  <c r="P18" i="2"/>
  <c r="Q190" i="2"/>
  <c r="P190" i="2"/>
  <c r="Q13" i="2"/>
  <c r="P13" i="2"/>
  <c r="Q58" i="2"/>
  <c r="P58" i="2"/>
  <c r="Q181" i="2"/>
  <c r="P181" i="2"/>
  <c r="Q78" i="2"/>
  <c r="P78" i="2"/>
  <c r="Q113" i="2"/>
  <c r="P113" i="2"/>
  <c r="P64" i="2"/>
  <c r="P6" i="2"/>
  <c r="Q165" i="2"/>
  <c r="P165" i="2"/>
  <c r="P153" i="2"/>
  <c r="Q125" i="2"/>
  <c r="P125" i="2"/>
  <c r="Q142" i="2"/>
  <c r="P142" i="2"/>
  <c r="Q163" i="2"/>
  <c r="P163" i="2"/>
  <c r="P197" i="2"/>
  <c r="P80" i="2"/>
  <c r="P145" i="2"/>
  <c r="Q27" i="2"/>
  <c r="P27" i="2"/>
  <c r="Q59" i="2"/>
  <c r="P59" i="2"/>
  <c r="P196" i="2"/>
  <c r="P164" i="2"/>
  <c r="P178" i="2"/>
  <c r="Q166" i="2"/>
  <c r="P166" i="2"/>
  <c r="Q127" i="2"/>
  <c r="P127" i="2"/>
  <c r="Q124" i="2"/>
  <c r="P124" i="2"/>
  <c r="Q143" i="2"/>
  <c r="P143" i="2"/>
  <c r="Q189" i="2"/>
  <c r="P189" i="2"/>
  <c r="P149" i="2"/>
  <c r="Q162" i="2"/>
  <c r="P162" i="2"/>
  <c r="P5" i="2"/>
  <c r="Q25" i="2"/>
  <c r="P25" i="2"/>
  <c r="Q26" i="2"/>
  <c r="P26" i="2"/>
  <c r="Q104" i="2"/>
  <c r="P104" i="2"/>
  <c r="Q103" i="2"/>
  <c r="P103" i="2"/>
  <c r="Q176" i="2"/>
  <c r="P176" i="2"/>
  <c r="P194" i="2"/>
  <c r="P167" i="2"/>
  <c r="Q141" i="2"/>
  <c r="P141" i="2"/>
  <c r="Q76" i="2"/>
  <c r="P76" i="2"/>
  <c r="Q188" i="2"/>
  <c r="P188" i="2"/>
  <c r="Q175" i="2"/>
  <c r="P175" i="2"/>
  <c r="P195" i="2"/>
  <c r="Q4" i="2"/>
  <c r="P4" i="2"/>
  <c r="P132" i="2"/>
  <c r="Q126" i="2"/>
  <c r="P126" i="2"/>
  <c r="Q3" i="2"/>
  <c r="P3" i="2"/>
  <c r="Q30" i="2"/>
  <c r="P30" i="2"/>
  <c r="P32" i="2"/>
  <c r="Q91" i="2"/>
  <c r="P91" i="2"/>
  <c r="Q57" i="2"/>
  <c r="P57" i="2"/>
  <c r="Q35" i="2"/>
  <c r="P35" i="2"/>
  <c r="P51" i="2"/>
  <c r="Q102" i="2"/>
  <c r="P102" i="2"/>
  <c r="P183" i="2"/>
  <c r="Q173" i="2"/>
  <c r="P173" i="2"/>
  <c r="Q174" i="2"/>
  <c r="P174" i="2"/>
  <c r="Q89" i="2"/>
  <c r="P89" i="2"/>
  <c r="Q128" i="2"/>
  <c r="P128" i="2"/>
  <c r="Q43" i="2"/>
  <c r="P43" i="2"/>
  <c r="Q87" i="2"/>
  <c r="P87" i="2"/>
  <c r="Q11" i="2"/>
  <c r="P11" i="2"/>
  <c r="Q114" i="2"/>
  <c r="P114" i="2"/>
  <c r="Q99" i="2"/>
  <c r="P99" i="2"/>
  <c r="Q100" i="2"/>
  <c r="P100" i="2"/>
  <c r="Q72" i="2"/>
  <c r="P72" i="2"/>
  <c r="Q23" i="2"/>
  <c r="P23" i="2"/>
  <c r="Q112" i="2"/>
  <c r="P112" i="2"/>
  <c r="Q85" i="2"/>
  <c r="P85" i="2"/>
  <c r="Q134" i="2"/>
  <c r="P134" i="2"/>
  <c r="Q48" i="2"/>
  <c r="P48" i="2"/>
  <c r="Q86" i="2"/>
  <c r="P86" i="2"/>
  <c r="Q179" i="2"/>
  <c r="P179" i="2"/>
  <c r="Q160" i="2"/>
  <c r="P160" i="2"/>
  <c r="Q60" i="2"/>
  <c r="P60" i="2"/>
  <c r="Q107" i="2"/>
  <c r="P107" i="2"/>
  <c r="Q187" i="2"/>
  <c r="P187" i="2"/>
  <c r="P118" i="2"/>
  <c r="Q101" i="2"/>
  <c r="P101" i="2"/>
  <c r="Q14" i="2"/>
  <c r="P14" i="2"/>
  <c r="P151" i="2"/>
  <c r="Q97" i="2"/>
  <c r="P97" i="2"/>
  <c r="P94" i="2"/>
  <c r="Q105" i="2"/>
  <c r="P105" i="2"/>
  <c r="Q84" i="2"/>
  <c r="P84" i="2"/>
  <c r="Q90" i="2"/>
  <c r="P90" i="2"/>
  <c r="Q22" i="2"/>
  <c r="P22" i="2"/>
  <c r="Q65" i="2"/>
  <c r="P65" i="2"/>
  <c r="Q123" i="2"/>
  <c r="P123" i="2"/>
  <c r="Q111" i="2"/>
  <c r="P111" i="2"/>
  <c r="Q73" i="2"/>
  <c r="P73" i="2"/>
  <c r="Q70" i="2"/>
  <c r="P70" i="2"/>
  <c r="Q68" i="2"/>
  <c r="P68" i="2"/>
  <c r="Q172" i="2"/>
  <c r="P172" i="2"/>
  <c r="Q19" i="2"/>
  <c r="P19" i="2"/>
  <c r="Q110" i="2"/>
  <c r="P110" i="2"/>
  <c r="Q155" i="2"/>
  <c r="P155" i="2"/>
  <c r="P168" i="2"/>
  <c r="Q34" i="2"/>
  <c r="P34" i="2"/>
  <c r="Q116" i="2"/>
  <c r="P116" i="2"/>
  <c r="Q79" i="2"/>
  <c r="P79" i="2"/>
  <c r="Q31" i="2"/>
  <c r="P31" i="2"/>
  <c r="Q98" i="2"/>
  <c r="P98" i="2"/>
  <c r="Q50" i="2"/>
  <c r="P50" i="2"/>
  <c r="Q55" i="2"/>
  <c r="P55" i="2"/>
  <c r="Q157" i="2"/>
  <c r="P157" i="2"/>
  <c r="Q24" i="2"/>
  <c r="P24" i="2"/>
  <c r="Q62" i="2"/>
  <c r="P62" i="2"/>
  <c r="Q121" i="2"/>
  <c r="P121" i="2"/>
  <c r="Q38" i="2"/>
  <c r="P38" i="2"/>
  <c r="Q130" i="2"/>
  <c r="P130" i="2"/>
  <c r="Q67" i="2"/>
  <c r="P67" i="2"/>
  <c r="Q131" i="2"/>
  <c r="P131" i="2"/>
  <c r="Q161" i="2"/>
  <c r="P161" i="2"/>
  <c r="Q177" i="2"/>
  <c r="P177" i="2"/>
  <c r="Q122" i="2"/>
  <c r="P122" i="2"/>
  <c r="Q93" i="2"/>
  <c r="P93" i="2"/>
  <c r="Q171" i="2"/>
  <c r="P171" i="2"/>
  <c r="Q158" i="2"/>
  <c r="P158" i="2"/>
  <c r="Q42" i="2"/>
  <c r="P42" i="2"/>
  <c r="Q88" i="2"/>
  <c r="P88" i="2"/>
  <c r="Q75" i="2"/>
  <c r="P75" i="2"/>
  <c r="Q28" i="2"/>
  <c r="P28" i="2"/>
  <c r="Q9" i="2"/>
  <c r="P9" i="2"/>
  <c r="Q74" i="2"/>
  <c r="P74" i="2"/>
  <c r="Q41" i="2"/>
  <c r="P41" i="2"/>
  <c r="Q40" i="2"/>
  <c r="P40" i="2"/>
  <c r="Q129" i="2"/>
  <c r="P129" i="2"/>
  <c r="Q52" i="2"/>
  <c r="P52" i="2"/>
  <c r="P144" i="2"/>
  <c r="Q83" i="2"/>
  <c r="P83" i="2"/>
  <c r="Q15" i="2"/>
  <c r="P15" i="2"/>
  <c r="Q63" i="2"/>
  <c r="P63" i="2"/>
  <c r="Q136" i="2"/>
  <c r="P136" i="2"/>
  <c r="Q45" i="2"/>
  <c r="P45" i="2"/>
  <c r="Q12" i="2"/>
  <c r="P12" i="2"/>
  <c r="Q96" i="2"/>
  <c r="P96" i="2"/>
  <c r="Q47" i="2"/>
  <c r="P47" i="2"/>
  <c r="Q69" i="2"/>
  <c r="P69" i="2"/>
  <c r="P159" i="2"/>
  <c r="Q49" i="2"/>
  <c r="P49" i="2"/>
  <c r="Q16" i="2"/>
  <c r="P16" i="2"/>
  <c r="P150" i="2"/>
  <c r="Q71" i="2"/>
  <c r="P71" i="2"/>
  <c r="Q37" i="2"/>
  <c r="P37" i="2"/>
  <c r="Q56" i="2"/>
  <c r="P56" i="2"/>
  <c r="Q140" i="2"/>
  <c r="P140" i="2"/>
  <c r="Q10" i="2"/>
  <c r="P10" i="2"/>
  <c r="Q54" i="2"/>
  <c r="P54" i="2"/>
  <c r="Q36" i="2"/>
  <c r="P36" i="2"/>
  <c r="Q77" i="2"/>
  <c r="P77" i="2"/>
  <c r="Q53" i="2"/>
  <c r="P53" i="2"/>
  <c r="Q109" i="2"/>
  <c r="P109" i="2"/>
  <c r="Q108" i="2"/>
  <c r="P108" i="2"/>
  <c r="Q180" i="2"/>
  <c r="P180" i="2"/>
  <c r="Q139" i="2"/>
  <c r="P139" i="2"/>
  <c r="Q8" i="2"/>
  <c r="P8" i="2"/>
  <c r="Q66" i="2"/>
  <c r="P66" i="2"/>
  <c r="Q82" i="2"/>
  <c r="P82" i="2"/>
  <c r="Q186" i="2"/>
  <c r="P186" i="2"/>
  <c r="P148" i="2"/>
  <c r="Q185" i="2"/>
  <c r="P185" i="2"/>
  <c r="Q193" i="2"/>
  <c r="P193" i="2"/>
  <c r="Q95" i="2"/>
  <c r="P95" i="2"/>
  <c r="Q170" i="2"/>
  <c r="P170" i="2"/>
  <c r="Q39" i="2"/>
  <c r="P39" i="2"/>
  <c r="Q92" i="2"/>
  <c r="P92" i="2"/>
  <c r="Q156" i="2"/>
  <c r="P156" i="2"/>
  <c r="Q138" i="2"/>
  <c r="P138" i="2"/>
  <c r="Q7" i="2"/>
  <c r="P7" i="2"/>
  <c r="Q120" i="2"/>
  <c r="P120" i="2"/>
  <c r="Q184" i="2"/>
  <c r="P184" i="2"/>
  <c r="Q44" i="2"/>
  <c r="P44" i="2"/>
  <c r="Q21" i="2"/>
  <c r="P21" i="2"/>
  <c r="Q106" i="2"/>
  <c r="P106" i="2"/>
  <c r="Q46" i="2"/>
  <c r="P46" i="2"/>
  <c r="Q2" i="2"/>
  <c r="P2" i="2"/>
  <c r="Q154" i="2"/>
  <c r="P154" i="2"/>
  <c r="Q20" i="2"/>
  <c r="P20" i="2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O39" i="1"/>
  <c r="P39" i="1"/>
  <c r="O40" i="1"/>
  <c r="P40" i="1"/>
  <c r="O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O99" i="1"/>
  <c r="P99" i="1"/>
  <c r="O100" i="1"/>
  <c r="O101" i="1"/>
  <c r="P101" i="1"/>
  <c r="O102" i="1"/>
  <c r="P102" i="1"/>
  <c r="O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O127" i="1"/>
  <c r="P127" i="1"/>
  <c r="O128" i="1"/>
  <c r="O129" i="1"/>
  <c r="P129" i="1"/>
  <c r="O130" i="1"/>
  <c r="P130" i="1"/>
  <c r="O131" i="1"/>
  <c r="P131" i="1"/>
  <c r="O132" i="1"/>
  <c r="O133" i="1"/>
  <c r="P133" i="1"/>
  <c r="O134" i="1"/>
  <c r="P134" i="1"/>
  <c r="O135" i="1"/>
  <c r="P135" i="1"/>
  <c r="O136" i="1"/>
  <c r="O137" i="1"/>
  <c r="P137" i="1"/>
  <c r="O138" i="1"/>
  <c r="O139" i="1"/>
  <c r="P139" i="1"/>
  <c r="O140" i="1"/>
  <c r="P140" i="1"/>
  <c r="O141" i="1"/>
  <c r="P141" i="1"/>
  <c r="O142" i="1"/>
  <c r="P142" i="1"/>
  <c r="O143" i="1"/>
  <c r="O144" i="1"/>
  <c r="O145" i="1"/>
  <c r="P145" i="1"/>
  <c r="O146" i="1"/>
  <c r="P146" i="1"/>
  <c r="O147" i="1"/>
  <c r="P147" i="1"/>
  <c r="O148" i="1"/>
  <c r="P148" i="1"/>
  <c r="O149" i="1"/>
  <c r="P149" i="1"/>
  <c r="O150" i="1"/>
  <c r="O151" i="1"/>
  <c r="P151" i="1"/>
  <c r="O152" i="1"/>
  <c r="O153" i="1"/>
  <c r="P153" i="1"/>
  <c r="O154" i="1"/>
  <c r="P154" i="1"/>
  <c r="O155" i="1"/>
  <c r="P155" i="1"/>
  <c r="O156" i="1"/>
  <c r="P156" i="1"/>
  <c r="O157" i="1"/>
  <c r="P157" i="1"/>
  <c r="O158" i="1"/>
  <c r="O159" i="1"/>
  <c r="O160" i="1"/>
  <c r="O161" i="1"/>
  <c r="P161" i="1"/>
  <c r="O162" i="1"/>
  <c r="P162" i="1"/>
  <c r="O163" i="1"/>
  <c r="O164" i="1"/>
  <c r="O165" i="1"/>
  <c r="O166" i="1"/>
  <c r="P166" i="1"/>
  <c r="O167" i="1"/>
  <c r="P167" i="1"/>
  <c r="O168" i="1"/>
  <c r="P168" i="1"/>
  <c r="O169" i="1"/>
  <c r="O170" i="1"/>
  <c r="P170" i="1"/>
  <c r="O171" i="1"/>
  <c r="O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O185" i="1"/>
  <c r="O186" i="1"/>
  <c r="O187" i="1"/>
  <c r="O188" i="1"/>
  <c r="P188" i="1"/>
  <c r="O189" i="1"/>
  <c r="O190" i="1"/>
  <c r="O191" i="1"/>
  <c r="P191" i="1"/>
  <c r="O192" i="1"/>
  <c r="P192" i="1"/>
  <c r="O193" i="1"/>
  <c r="O194" i="1"/>
  <c r="O195" i="1"/>
  <c r="O196" i="1"/>
  <c r="O197" i="1"/>
  <c r="P2" i="1"/>
  <c r="O2" i="1"/>
</calcChain>
</file>

<file path=xl/sharedStrings.xml><?xml version="1.0" encoding="utf-8"?>
<sst xmlns="http://schemas.openxmlformats.org/spreadsheetml/2006/main" count="855" uniqueCount="64">
  <si>
    <t>ORD_A</t>
  </si>
  <si>
    <t>ORD_F</t>
  </si>
  <si>
    <t>archInterp</t>
  </si>
  <si>
    <t>funcInterp</t>
  </si>
  <si>
    <t>count</t>
  </si>
  <si>
    <t>arch_total</t>
  </si>
  <si>
    <t>arch_pct</t>
  </si>
  <si>
    <t>func_total</t>
  </si>
  <si>
    <t>func_pct</t>
  </si>
  <si>
    <t>PairIndex</t>
  </si>
  <si>
    <t>count_LC</t>
  </si>
  <si>
    <t>arch_pct_LC</t>
  </si>
  <si>
    <t>func_pct_LC</t>
  </si>
  <si>
    <t>PairIndex_LC</t>
  </si>
  <si>
    <t>avenue divider or possible avenue divider</t>
  </si>
  <si>
    <t>avenue divider</t>
  </si>
  <si>
    <t>pyramid (more than ca. 10m high)</t>
  </si>
  <si>
    <t>pyramid temple (over 10 m high)</t>
  </si>
  <si>
    <t>access-way (alley, street, avenue, etc.)</t>
  </si>
  <si>
    <t>street or avenue</t>
  </si>
  <si>
    <t>no plausible alternative to the primary interpretation</t>
  </si>
  <si>
    <t>no plausible alternative to the pirmary interpretation</t>
  </si>
  <si>
    <t>plaza</t>
  </si>
  <si>
    <t>casa humilde</t>
  </si>
  <si>
    <t>low status residential, no obvious occupational specialization</t>
  </si>
  <si>
    <t>free-standing wall or segment of wall</t>
  </si>
  <si>
    <t>wall or segment of a wall</t>
  </si>
  <si>
    <t>temple base (incl. platforms &amp; multi-tiered platforms)</t>
  </si>
  <si>
    <t>temple platform</t>
  </si>
  <si>
    <t>primary interpretation is the best assessment of a very ambiguous situation</t>
  </si>
  <si>
    <t>apartment compound</t>
  </si>
  <si>
    <t>intermediate status residence</t>
  </si>
  <si>
    <t>probably not occupied or utilized in this period</t>
  </si>
  <si>
    <t>unoccupied, not clear if cultivated or not</t>
  </si>
  <si>
    <t>room group</t>
  </si>
  <si>
    <t>residence of uncertain status</t>
  </si>
  <si>
    <t>platform in plaza (momoztli)</t>
  </si>
  <si>
    <t>momoztli (platform in plaza)</t>
  </si>
  <si>
    <t>cemetery</t>
  </si>
  <si>
    <t>simple platform</t>
  </si>
  <si>
    <t>platform of probable religious significance</t>
  </si>
  <si>
    <t>platform with other structures on it</t>
  </si>
  <si>
    <t>NA</t>
  </si>
  <si>
    <t>probably temple, hard to fit into any of the above categories</t>
  </si>
  <si>
    <t>uncultivated open area</t>
  </si>
  <si>
    <t>temple</t>
  </si>
  <si>
    <t>other</t>
  </si>
  <si>
    <t>occupation without durable structures</t>
  </si>
  <si>
    <t>high status residence</t>
  </si>
  <si>
    <t>altar</t>
  </si>
  <si>
    <t>market or part of a market</t>
  </si>
  <si>
    <t>possible ball court</t>
  </si>
  <si>
    <t>\"civic\" structure, but not a temple</t>
  </si>
  <si>
    <t>puesto</t>
  </si>
  <si>
    <t>cave</t>
  </si>
  <si>
    <t>other type of workshop or craft production area</t>
  </si>
  <si>
    <t>residential workshop</t>
  </si>
  <si>
    <t>cultivated field</t>
  </si>
  <si>
    <t>pottery workshop</t>
  </si>
  <si>
    <t>obsidian workshop</t>
  </si>
  <si>
    <t>SubstantiveCheck</t>
  </si>
  <si>
    <t>Mutually Exclusive</t>
  </si>
  <si>
    <t>Very Unlikely</t>
  </si>
  <si>
    <t>Improbable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</si>
</sst>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  <xf numFmtId="0" fontId="0" fillId="36" borderId="0" xfId="0" applyFill="1"/>
    <xf numFmtId="11" fontId="0" fillId="0" borderId="0" xfId="0" applyNumberFormat="1" applyFill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archInterp_summary1c!$J$2:$J$218</c:f>
              <c:numCache>
                <c:formatCode>General</c:formatCode>
                <c:ptCount val="217"/>
                <c:pt idx="0">
                  <c:v>1.96</c:v>
                </c:pt>
                <c:pt idx="1">
                  <c:v>1.9310344827586201</c:v>
                </c:pt>
                <c:pt idx="2">
                  <c:v>1.9298245614035101</c:v>
                </c:pt>
                <c:pt idx="3">
                  <c:v>1.87815451612886</c:v>
                </c:pt>
                <c:pt idx="4">
                  <c:v>1.8688793067407099</c:v>
                </c:pt>
                <c:pt idx="5">
                  <c:v>1.86739000872654</c:v>
                </c:pt>
                <c:pt idx="6">
                  <c:v>1.84907700625628</c:v>
                </c:pt>
                <c:pt idx="7">
                  <c:v>1.76762904247868</c:v>
                </c:pt>
                <c:pt idx="8">
                  <c:v>1.7165477312508399</c:v>
                </c:pt>
                <c:pt idx="9">
                  <c:v>1.7115523317094901</c:v>
                </c:pt>
                <c:pt idx="10">
                  <c:v>1.69088513920269</c:v>
                </c:pt>
                <c:pt idx="11">
                  <c:v>1.672186856842</c:v>
                </c:pt>
                <c:pt idx="12">
                  <c:v>1.61030595813205</c:v>
                </c:pt>
                <c:pt idx="13">
                  <c:v>1.5254480286738401</c:v>
                </c:pt>
                <c:pt idx="14">
                  <c:v>1.46739418243042</c:v>
                </c:pt>
                <c:pt idx="15">
                  <c:v>1.1071339382335801</c:v>
                </c:pt>
                <c:pt idx="16">
                  <c:v>1.0434513707961901</c:v>
                </c:pt>
                <c:pt idx="17">
                  <c:v>1.0165472312703601</c:v>
                </c:pt>
                <c:pt idx="18">
                  <c:v>1.0004458314757001</c:v>
                </c:pt>
                <c:pt idx="19">
                  <c:v>0.97668438196468399</c:v>
                </c:pt>
                <c:pt idx="20">
                  <c:v>0.96111111111111103</c:v>
                </c:pt>
                <c:pt idx="21">
                  <c:v>0.95658650099338105</c:v>
                </c:pt>
                <c:pt idx="22">
                  <c:v>0.89421831451887801</c:v>
                </c:pt>
                <c:pt idx="23">
                  <c:v>0.87806922474353299</c:v>
                </c:pt>
                <c:pt idx="24">
                  <c:v>0.66987693953986105</c:v>
                </c:pt>
                <c:pt idx="25">
                  <c:v>0.64552545155993402</c:v>
                </c:pt>
                <c:pt idx="26">
                  <c:v>0.63731527093596096</c:v>
                </c:pt>
                <c:pt idx="27">
                  <c:v>0.63170660490673003</c:v>
                </c:pt>
                <c:pt idx="28">
                  <c:v>0.60515021459227503</c:v>
                </c:pt>
                <c:pt idx="29">
                  <c:v>0.58885630498533703</c:v>
                </c:pt>
                <c:pt idx="30">
                  <c:v>0.58701160556143706</c:v>
                </c:pt>
                <c:pt idx="31">
                  <c:v>0.56041706590477502</c:v>
                </c:pt>
                <c:pt idx="32">
                  <c:v>0.46790473672928001</c:v>
                </c:pt>
                <c:pt idx="33">
                  <c:v>0.42939430452287902</c:v>
                </c:pt>
                <c:pt idx="34">
                  <c:v>0.39093309132909798</c:v>
                </c:pt>
                <c:pt idx="35">
                  <c:v>0.36890121159178102</c:v>
                </c:pt>
                <c:pt idx="36">
                  <c:v>0.333481943825234</c:v>
                </c:pt>
                <c:pt idx="37">
                  <c:v>0.28741460452406298</c:v>
                </c:pt>
                <c:pt idx="38">
                  <c:v>0.28006248116235999</c:v>
                </c:pt>
                <c:pt idx="39">
                  <c:v>0.27031172884792398</c:v>
                </c:pt>
                <c:pt idx="40">
                  <c:v>0.25091991882090697</c:v>
                </c:pt>
                <c:pt idx="41">
                  <c:v>0.23290941520160599</c:v>
                </c:pt>
                <c:pt idx="42">
                  <c:v>0.21640798226164101</c:v>
                </c:pt>
                <c:pt idx="43">
                  <c:v>0.21260245986044901</c:v>
                </c:pt>
                <c:pt idx="44">
                  <c:v>0.20495867768595</c:v>
                </c:pt>
                <c:pt idx="45">
                  <c:v>0.20042964554242801</c:v>
                </c:pt>
                <c:pt idx="46">
                  <c:v>0.20013714599190799</c:v>
                </c:pt>
                <c:pt idx="47">
                  <c:v>0.19682227002928901</c:v>
                </c:pt>
                <c:pt idx="48">
                  <c:v>0.18989262371615301</c:v>
                </c:pt>
                <c:pt idx="49">
                  <c:v>0.179054070249618</c:v>
                </c:pt>
                <c:pt idx="50">
                  <c:v>0.17501121337105999</c:v>
                </c:pt>
                <c:pt idx="51">
                  <c:v>0.16752595775152199</c:v>
                </c:pt>
                <c:pt idx="52">
                  <c:v>0.15687506545188001</c:v>
                </c:pt>
                <c:pt idx="53">
                  <c:v>0.15658914728682199</c:v>
                </c:pt>
                <c:pt idx="54">
                  <c:v>0.15515021459227499</c:v>
                </c:pt>
                <c:pt idx="55">
                  <c:v>0.15365414572279301</c:v>
                </c:pt>
                <c:pt idx="56">
                  <c:v>0.152544529262087</c:v>
                </c:pt>
                <c:pt idx="57">
                  <c:v>0.15149167800690899</c:v>
                </c:pt>
                <c:pt idx="58">
                  <c:v>0.148809523809524</c:v>
                </c:pt>
                <c:pt idx="59">
                  <c:v>0.141666666666667</c:v>
                </c:pt>
                <c:pt idx="60">
                  <c:v>0.13854133083603301</c:v>
                </c:pt>
                <c:pt idx="61">
                  <c:v>0.12916241062308501</c:v>
                </c:pt>
                <c:pt idx="62">
                  <c:v>0.11921458625525901</c:v>
                </c:pt>
                <c:pt idx="63">
                  <c:v>0.11783694381338899</c:v>
                </c:pt>
                <c:pt idx="64">
                  <c:v>0.115926520420902</c:v>
                </c:pt>
                <c:pt idx="65">
                  <c:v>0.115635703067345</c:v>
                </c:pt>
                <c:pt idx="66">
                  <c:v>0.11175557942475201</c:v>
                </c:pt>
                <c:pt idx="67">
                  <c:v>0.104945474608301</c:v>
                </c:pt>
                <c:pt idx="68">
                  <c:v>9.74186618620283E-2</c:v>
                </c:pt>
                <c:pt idx="69">
                  <c:v>9.6994070417340497E-2</c:v>
                </c:pt>
                <c:pt idx="70">
                  <c:v>8.9027553807247098E-2</c:v>
                </c:pt>
                <c:pt idx="71">
                  <c:v>8.3470479325241695E-2</c:v>
                </c:pt>
                <c:pt idx="72">
                  <c:v>8.1701086849320495E-2</c:v>
                </c:pt>
                <c:pt idx="73">
                  <c:v>8.1386249231741606E-2</c:v>
                </c:pt>
                <c:pt idx="74">
                  <c:v>7.8438468203948494E-2</c:v>
                </c:pt>
                <c:pt idx="75">
                  <c:v>7.5481401839050097E-2</c:v>
                </c:pt>
                <c:pt idx="76">
                  <c:v>7.4551811295339096E-2</c:v>
                </c:pt>
                <c:pt idx="77">
                  <c:v>7.4442996338360296E-2</c:v>
                </c:pt>
                <c:pt idx="78">
                  <c:v>7.3145309625996302E-2</c:v>
                </c:pt>
                <c:pt idx="79">
                  <c:v>7.3070607553366196E-2</c:v>
                </c:pt>
                <c:pt idx="80">
                  <c:v>7.2276747849266895E-2</c:v>
                </c:pt>
                <c:pt idx="81">
                  <c:v>7.2242241078693495E-2</c:v>
                </c:pt>
                <c:pt idx="82">
                  <c:v>6.9112101820681601E-2</c:v>
                </c:pt>
                <c:pt idx="83">
                  <c:v>6.57578187650361E-2</c:v>
                </c:pt>
                <c:pt idx="84">
                  <c:v>6.5366288437146494E-2</c:v>
                </c:pt>
                <c:pt idx="85">
                  <c:v>6.2920800486471404E-2</c:v>
                </c:pt>
                <c:pt idx="86">
                  <c:v>6.2812230748383005E-2</c:v>
                </c:pt>
                <c:pt idx="87">
                  <c:v>6.14047364488325E-2</c:v>
                </c:pt>
                <c:pt idx="88">
                  <c:v>5.4038236441669898E-2</c:v>
                </c:pt>
                <c:pt idx="89">
                  <c:v>5.3664726078519201E-2</c:v>
                </c:pt>
                <c:pt idx="90">
                  <c:v>5.3180292925003501E-2</c:v>
                </c:pt>
                <c:pt idx="91">
                  <c:v>5.2700151943322601E-2</c:v>
                </c:pt>
                <c:pt idx="92">
                  <c:v>5.0770373897462702E-2</c:v>
                </c:pt>
                <c:pt idx="93">
                  <c:v>4.8131080389144897E-2</c:v>
                </c:pt>
                <c:pt idx="94">
                  <c:v>4.8058801356954402E-2</c:v>
                </c:pt>
                <c:pt idx="95">
                  <c:v>4.44345898004435E-2</c:v>
                </c:pt>
                <c:pt idx="96">
                  <c:v>4.4356223995113901E-2</c:v>
                </c:pt>
                <c:pt idx="97">
                  <c:v>4.3521156607584301E-2</c:v>
                </c:pt>
                <c:pt idx="98">
                  <c:v>4.0148610491900702E-2</c:v>
                </c:pt>
                <c:pt idx="99">
                  <c:v>3.8063955173413197E-2</c:v>
                </c:pt>
                <c:pt idx="100">
                  <c:v>3.7896219442468897E-2</c:v>
                </c:pt>
                <c:pt idx="101">
                  <c:v>3.78580550994344E-2</c:v>
                </c:pt>
                <c:pt idx="102">
                  <c:v>3.7044714243411297E-2</c:v>
                </c:pt>
                <c:pt idx="103">
                  <c:v>3.6502757024848898E-2</c:v>
                </c:pt>
                <c:pt idx="104">
                  <c:v>3.56725220723123E-2</c:v>
                </c:pt>
                <c:pt idx="105">
                  <c:v>3.55998680648189E-2</c:v>
                </c:pt>
                <c:pt idx="106">
                  <c:v>3.5468337389323201E-2</c:v>
                </c:pt>
                <c:pt idx="107">
                  <c:v>3.5437430786268001E-2</c:v>
                </c:pt>
                <c:pt idx="108">
                  <c:v>3.3958574361122998E-2</c:v>
                </c:pt>
                <c:pt idx="109">
                  <c:v>3.2687710058556502E-2</c:v>
                </c:pt>
                <c:pt idx="110">
                  <c:v>3.2583026933309403E-2</c:v>
                </c:pt>
                <c:pt idx="111">
                  <c:v>3.1241897848068401E-2</c:v>
                </c:pt>
                <c:pt idx="112">
                  <c:v>3.1238814809030201E-2</c:v>
                </c:pt>
                <c:pt idx="113">
                  <c:v>3.0960918970424099E-2</c:v>
                </c:pt>
                <c:pt idx="114">
                  <c:v>3.0443855938210598E-2</c:v>
                </c:pt>
                <c:pt idx="115">
                  <c:v>2.9665642778195899E-2</c:v>
                </c:pt>
                <c:pt idx="116">
                  <c:v>2.90117267535638E-2</c:v>
                </c:pt>
                <c:pt idx="117">
                  <c:v>2.8740579075968001E-2</c:v>
                </c:pt>
                <c:pt idx="118">
                  <c:v>2.7222493092800299E-2</c:v>
                </c:pt>
                <c:pt idx="119">
                  <c:v>2.66081871345029E-2</c:v>
                </c:pt>
                <c:pt idx="120">
                  <c:v>2.5879100561708699E-2</c:v>
                </c:pt>
                <c:pt idx="121">
                  <c:v>2.4375028050805599E-2</c:v>
                </c:pt>
                <c:pt idx="122">
                  <c:v>2.2347896059312498E-2</c:v>
                </c:pt>
                <c:pt idx="123">
                  <c:v>2.1819573441227098E-2</c:v>
                </c:pt>
                <c:pt idx="124">
                  <c:v>2.1605136436597099E-2</c:v>
                </c:pt>
                <c:pt idx="125">
                  <c:v>2.08966695057612E-2</c:v>
                </c:pt>
                <c:pt idx="126">
                  <c:v>2.0387918493915001E-2</c:v>
                </c:pt>
                <c:pt idx="127">
                  <c:v>1.9539765205742202E-2</c:v>
                </c:pt>
                <c:pt idx="128">
                  <c:v>1.9525634013516601E-2</c:v>
                </c:pt>
                <c:pt idx="129">
                  <c:v>1.9285985156292301E-2</c:v>
                </c:pt>
                <c:pt idx="130">
                  <c:v>1.85472914649433E-2</c:v>
                </c:pt>
                <c:pt idx="131">
                  <c:v>1.80897954643418E-2</c:v>
                </c:pt>
                <c:pt idx="132">
                  <c:v>1.5791784113488298E-2</c:v>
                </c:pt>
                <c:pt idx="133">
                  <c:v>1.4297198521911201E-2</c:v>
                </c:pt>
                <c:pt idx="134">
                  <c:v>1.42808319500049E-2</c:v>
                </c:pt>
                <c:pt idx="135">
                  <c:v>1.4116974020729599E-2</c:v>
                </c:pt>
                <c:pt idx="136">
                  <c:v>1.3522454718385601E-2</c:v>
                </c:pt>
                <c:pt idx="137">
                  <c:v>1.2555464952504E-2</c:v>
                </c:pt>
                <c:pt idx="138">
                  <c:v>1.09029954532477E-2</c:v>
                </c:pt>
                <c:pt idx="139">
                  <c:v>1.0417993345567001E-2</c:v>
                </c:pt>
                <c:pt idx="140">
                  <c:v>9.9596971205108895E-3</c:v>
                </c:pt>
                <c:pt idx="141">
                  <c:v>9.9045787410311399E-3</c:v>
                </c:pt>
                <c:pt idx="142">
                  <c:v>9.7642919861622001E-3</c:v>
                </c:pt>
                <c:pt idx="143">
                  <c:v>9.6241476561313294E-3</c:v>
                </c:pt>
                <c:pt idx="144">
                  <c:v>9.6231852559293292E-3</c:v>
                </c:pt>
                <c:pt idx="145">
                  <c:v>9.2857740773113692E-3</c:v>
                </c:pt>
                <c:pt idx="146">
                  <c:v>9.1888443616253302E-3</c:v>
                </c:pt>
                <c:pt idx="147">
                  <c:v>8.9528489999798604E-3</c:v>
                </c:pt>
                <c:pt idx="148">
                  <c:v>8.9314194577352502E-3</c:v>
                </c:pt>
                <c:pt idx="149">
                  <c:v>8.9300435823244304E-3</c:v>
                </c:pt>
                <c:pt idx="150">
                  <c:v>8.4939422952768698E-3</c:v>
                </c:pt>
                <c:pt idx="151">
                  <c:v>8.2989627686184692E-3</c:v>
                </c:pt>
                <c:pt idx="152">
                  <c:v>7.6075899185880898E-3</c:v>
                </c:pt>
                <c:pt idx="153">
                  <c:v>6.7057271513338602E-3</c:v>
                </c:pt>
                <c:pt idx="154">
                  <c:v>6.5567153805748497E-3</c:v>
                </c:pt>
                <c:pt idx="155">
                  <c:v>6.3399584000977498E-3</c:v>
                </c:pt>
                <c:pt idx="156">
                  <c:v>5.9997756737865896E-3</c:v>
                </c:pt>
                <c:pt idx="157">
                  <c:v>5.9086220876265602E-3</c:v>
                </c:pt>
                <c:pt idx="158">
                  <c:v>5.8105536240204998E-3</c:v>
                </c:pt>
                <c:pt idx="159">
                  <c:v>5.6792167290175199E-3</c:v>
                </c:pt>
                <c:pt idx="160">
                  <c:v>5.4314416664721296E-3</c:v>
                </c:pt>
                <c:pt idx="161">
                  <c:v>5.1328680872472802E-3</c:v>
                </c:pt>
                <c:pt idx="162">
                  <c:v>5.1297074807013397E-3</c:v>
                </c:pt>
                <c:pt idx="163">
                  <c:v>5.0676859842601002E-3</c:v>
                </c:pt>
                <c:pt idx="164">
                  <c:v>4.80127114712154E-3</c:v>
                </c:pt>
                <c:pt idx="165">
                  <c:v>4.7195666792586403E-3</c:v>
                </c:pt>
                <c:pt idx="166">
                  <c:v>4.6966476917501302E-3</c:v>
                </c:pt>
                <c:pt idx="167">
                  <c:v>4.6940650373552698E-3</c:v>
                </c:pt>
                <c:pt idx="168">
                  <c:v>4.6334737584595304E-3</c:v>
                </c:pt>
                <c:pt idx="169">
                  <c:v>4.5952137091001197E-3</c:v>
                </c:pt>
                <c:pt idx="170">
                  <c:v>4.4545379082349002E-3</c:v>
                </c:pt>
                <c:pt idx="171">
                  <c:v>4.0380779046318999E-3</c:v>
                </c:pt>
                <c:pt idx="172">
                  <c:v>3.7266455534543E-3</c:v>
                </c:pt>
                <c:pt idx="173">
                  <c:v>3.62877046683306E-3</c:v>
                </c:pt>
                <c:pt idx="174">
                  <c:v>3.5407892838787399E-3</c:v>
                </c:pt>
                <c:pt idx="175">
                  <c:v>3.42998569047879E-3</c:v>
                </c:pt>
                <c:pt idx="176">
                  <c:v>3.4039135695302699E-3</c:v>
                </c:pt>
                <c:pt idx="177">
                  <c:v>3.2489694791100802E-3</c:v>
                </c:pt>
                <c:pt idx="178">
                  <c:v>3.2083301198616602E-3</c:v>
                </c:pt>
                <c:pt idx="179">
                  <c:v>3.1666850358358502E-3</c:v>
                </c:pt>
                <c:pt idx="180">
                  <c:v>3.1234892762131402E-3</c:v>
                </c:pt>
                <c:pt idx="181">
                  <c:v>2.6829310561455001E-3</c:v>
                </c:pt>
                <c:pt idx="182">
                  <c:v>2.0605337184335798E-3</c:v>
                </c:pt>
                <c:pt idx="183">
                  <c:v>2.0234532831124299E-3</c:v>
                </c:pt>
                <c:pt idx="184">
                  <c:v>1.99602552647126E-3</c:v>
                </c:pt>
                <c:pt idx="185">
                  <c:v>1.85997843455837E-3</c:v>
                </c:pt>
                <c:pt idx="186">
                  <c:v>1.83791329193342E-3</c:v>
                </c:pt>
                <c:pt idx="187">
                  <c:v>1.7209375359258899E-3</c:v>
                </c:pt>
                <c:pt idx="188">
                  <c:v>1.3524791989725699E-3</c:v>
                </c:pt>
                <c:pt idx="189">
                  <c:v>1.3041536316273201E-3</c:v>
                </c:pt>
                <c:pt idx="190">
                  <c:v>1.2722147040995001E-3</c:v>
                </c:pt>
                <c:pt idx="191">
                  <c:v>1.2158068503957901E-3</c:v>
                </c:pt>
                <c:pt idx="192">
                  <c:v>1.2103574695859799E-3</c:v>
                </c:pt>
                <c:pt idx="193">
                  <c:v>1.1112871710944501E-3</c:v>
                </c:pt>
                <c:pt idx="194">
                  <c:v>8.8761112620742695E-4</c:v>
                </c:pt>
                <c:pt idx="195">
                  <c:v>6.1608362188044397E-4</c:v>
                </c:pt>
              </c:numCache>
            </c:numRef>
          </c:xVal>
          <c:yVal>
            <c:numRef>
              <c:f>archInterp_summary1c!$N$2:$N$218</c:f>
              <c:numCache>
                <c:formatCode>General</c:formatCode>
                <c:ptCount val="217"/>
                <c:pt idx="0">
                  <c:v>2</c:v>
                </c:pt>
                <c:pt idx="1">
                  <c:v>1.92307692307692</c:v>
                </c:pt>
                <c:pt idx="2">
                  <c:v>1.94158686730506</c:v>
                </c:pt>
                <c:pt idx="3">
                  <c:v>1.87010286594422</c:v>
                </c:pt>
                <c:pt idx="4">
                  <c:v>1.8783022311447699</c:v>
                </c:pt>
                <c:pt idx="5">
                  <c:v>1.8866688273105401</c:v>
                </c:pt>
                <c:pt idx="6">
                  <c:v>1.8004459308807099</c:v>
                </c:pt>
                <c:pt idx="7">
                  <c:v>1.7937246480553599</c:v>
                </c:pt>
                <c:pt idx="8">
                  <c:v>1.68399223268536</c:v>
                </c:pt>
                <c:pt idx="9">
                  <c:v>1.7276028705300499</c:v>
                </c:pt>
                <c:pt idx="10">
                  <c:v>1.76349576889408</c:v>
                </c:pt>
                <c:pt idx="11">
                  <c:v>9.2682531973449903E-2</c:v>
                </c:pt>
                <c:pt idx="12">
                  <c:v>1.68888888888889</c:v>
                </c:pt>
                <c:pt idx="13">
                  <c:v>1.5340909090909101</c:v>
                </c:pt>
                <c:pt idx="14">
                  <c:v>1.4267079224450701</c:v>
                </c:pt>
                <c:pt idx="15">
                  <c:v>1.15817390515913</c:v>
                </c:pt>
                <c:pt idx="16">
                  <c:v>1.0373626373626399</c:v>
                </c:pt>
                <c:pt idx="17">
                  <c:v>1.0488845144357</c:v>
                </c:pt>
                <c:pt idx="19">
                  <c:v>0.90255905511810997</c:v>
                </c:pt>
                <c:pt idx="20">
                  <c:v>0.98410988419068102</c:v>
                </c:pt>
                <c:pt idx="21">
                  <c:v>1.2569039655996199</c:v>
                </c:pt>
                <c:pt idx="22">
                  <c:v>0.89702304541842404</c:v>
                </c:pt>
                <c:pt idx="23">
                  <c:v>0.477911350394572</c:v>
                </c:pt>
                <c:pt idx="24">
                  <c:v>1.0059880239521</c:v>
                </c:pt>
                <c:pt idx="25">
                  <c:v>0.71284562211981595</c:v>
                </c:pt>
                <c:pt idx="26">
                  <c:v>0.63652073732718895</c:v>
                </c:pt>
                <c:pt idx="27">
                  <c:v>0.74371264502519596</c:v>
                </c:pt>
                <c:pt idx="28">
                  <c:v>0.50621118012422395</c:v>
                </c:pt>
                <c:pt idx="29">
                  <c:v>0.550632911392405</c:v>
                </c:pt>
                <c:pt idx="30">
                  <c:v>0.53548966756513905</c:v>
                </c:pt>
                <c:pt idx="31">
                  <c:v>0.79251931838203804</c:v>
                </c:pt>
                <c:pt idx="32">
                  <c:v>0.57879194630872499</c:v>
                </c:pt>
                <c:pt idx="33">
                  <c:v>0.463155712212316</c:v>
                </c:pt>
                <c:pt idx="34">
                  <c:v>0.38159340659340701</c:v>
                </c:pt>
                <c:pt idx="35">
                  <c:v>0.21552795031055899</c:v>
                </c:pt>
                <c:pt idx="37">
                  <c:v>0.30940390375563698</c:v>
                </c:pt>
                <c:pt idx="38">
                  <c:v>0.29409486631347398</c:v>
                </c:pt>
                <c:pt idx="40">
                  <c:v>0.277397015777825</c:v>
                </c:pt>
                <c:pt idx="41">
                  <c:v>0.23644778344898801</c:v>
                </c:pt>
                <c:pt idx="42">
                  <c:v>0.20631367706082099</c:v>
                </c:pt>
                <c:pt idx="43">
                  <c:v>0.29805379723488701</c:v>
                </c:pt>
                <c:pt idx="44">
                  <c:v>0.27517886626307098</c:v>
                </c:pt>
                <c:pt idx="45">
                  <c:v>0.25098135426889101</c:v>
                </c:pt>
                <c:pt idx="46">
                  <c:v>0.25026954177897598</c:v>
                </c:pt>
                <c:pt idx="47">
                  <c:v>0.26837826272999599</c:v>
                </c:pt>
                <c:pt idx="48">
                  <c:v>0.18779518353986399</c:v>
                </c:pt>
                <c:pt idx="50">
                  <c:v>0.192547962581259</c:v>
                </c:pt>
                <c:pt idx="51">
                  <c:v>0.12598135426889101</c:v>
                </c:pt>
                <c:pt idx="52">
                  <c:v>0.126702127659574</c:v>
                </c:pt>
                <c:pt idx="53">
                  <c:v>0.14798850574712599</c:v>
                </c:pt>
                <c:pt idx="54">
                  <c:v>0.131211180124224</c:v>
                </c:pt>
                <c:pt idx="55">
                  <c:v>0.91135860950900105</c:v>
                </c:pt>
                <c:pt idx="56">
                  <c:v>0.128267973856209</c:v>
                </c:pt>
                <c:pt idx="57">
                  <c:v>0.139544513457557</c:v>
                </c:pt>
                <c:pt idx="58">
                  <c:v>0.14627659574468099</c:v>
                </c:pt>
                <c:pt idx="59">
                  <c:v>0.125</c:v>
                </c:pt>
                <c:pt idx="60">
                  <c:v>0.498741105637657</c:v>
                </c:pt>
                <c:pt idx="61">
                  <c:v>0.13052376260137999</c:v>
                </c:pt>
                <c:pt idx="62">
                  <c:v>0.15458937198067599</c:v>
                </c:pt>
                <c:pt idx="63">
                  <c:v>0.122944062806673</c:v>
                </c:pt>
                <c:pt idx="64">
                  <c:v>0.105988023952096</c:v>
                </c:pt>
                <c:pt idx="65">
                  <c:v>2.2988505747126398E-2</c:v>
                </c:pt>
                <c:pt idx="66">
                  <c:v>0.100981354268891</c:v>
                </c:pt>
                <c:pt idx="67">
                  <c:v>8.56526872337149E-2</c:v>
                </c:pt>
                <c:pt idx="68">
                  <c:v>9.1890445177982005E-2</c:v>
                </c:pt>
                <c:pt idx="69">
                  <c:v>0.125291545189504</c:v>
                </c:pt>
                <c:pt idx="70">
                  <c:v>8.7830062629285596E-2</c:v>
                </c:pt>
                <c:pt idx="71">
                  <c:v>0.12526954177897601</c:v>
                </c:pt>
                <c:pt idx="72">
                  <c:v>6.5641199008338993E-2</c:v>
                </c:pt>
                <c:pt idx="73">
                  <c:v>0.40849450404870402</c:v>
                </c:pt>
                <c:pt idx="74">
                  <c:v>7.7566617762462001E-2</c:v>
                </c:pt>
                <c:pt idx="75">
                  <c:v>7.9215333932315099E-2</c:v>
                </c:pt>
                <c:pt idx="76">
                  <c:v>7.2985957132298607E-2</c:v>
                </c:pt>
                <c:pt idx="77">
                  <c:v>6.8300653594771193E-2</c:v>
                </c:pt>
                <c:pt idx="78">
                  <c:v>8.0028666985188707E-2</c:v>
                </c:pt>
                <c:pt idx="79">
                  <c:v>7.9227224388514705E-2</c:v>
                </c:pt>
                <c:pt idx="80">
                  <c:v>7.8557063851181497E-2</c:v>
                </c:pt>
                <c:pt idx="82">
                  <c:v>7.7214622112581302E-2</c:v>
                </c:pt>
                <c:pt idx="83">
                  <c:v>5.5193601356003999E-2</c:v>
                </c:pt>
                <c:pt idx="84">
                  <c:v>8.7812319770794997E-2</c:v>
                </c:pt>
                <c:pt idx="85">
                  <c:v>1.03170282811001E-2</c:v>
                </c:pt>
                <c:pt idx="86">
                  <c:v>7.1219770054182605E-2</c:v>
                </c:pt>
                <c:pt idx="87">
                  <c:v>5.0739217916192798E-2</c:v>
                </c:pt>
                <c:pt idx="88">
                  <c:v>4.7291453730639199E-2</c:v>
                </c:pt>
                <c:pt idx="89">
                  <c:v>7.4811876567695307E-2</c:v>
                </c:pt>
                <c:pt idx="90">
                  <c:v>6.23780357122714E-2</c:v>
                </c:pt>
                <c:pt idx="91">
                  <c:v>0.12526954177897601</c:v>
                </c:pt>
                <c:pt idx="92">
                  <c:v>2.6028721347694E-2</c:v>
                </c:pt>
                <c:pt idx="93">
                  <c:v>6.4754856614246098E-2</c:v>
                </c:pt>
                <c:pt idx="94">
                  <c:v>4.3136281868370499E-2</c:v>
                </c:pt>
                <c:pt idx="95">
                  <c:v>4.7764227642276398E-2</c:v>
                </c:pt>
                <c:pt idx="97">
                  <c:v>4.4723743155798898E-2</c:v>
                </c:pt>
                <c:pt idx="99">
                  <c:v>5.2344507455734102E-2</c:v>
                </c:pt>
                <c:pt idx="100">
                  <c:v>4.6360820751064701E-2</c:v>
                </c:pt>
                <c:pt idx="102">
                  <c:v>3.3190471444234003E-2</c:v>
                </c:pt>
                <c:pt idx="103">
                  <c:v>4.5019496632399902E-2</c:v>
                </c:pt>
                <c:pt idx="104">
                  <c:v>8.0539083557951502E-2</c:v>
                </c:pt>
                <c:pt idx="105">
                  <c:v>5.4768220285461702E-2</c:v>
                </c:pt>
                <c:pt idx="106">
                  <c:v>4.9466284821661002E-2</c:v>
                </c:pt>
                <c:pt idx="107">
                  <c:v>3.27708486182441E-2</c:v>
                </c:pt>
                <c:pt idx="108">
                  <c:v>4.1071323391233899E-2</c:v>
                </c:pt>
                <c:pt idx="109">
                  <c:v>4.4459615138456303E-2</c:v>
                </c:pt>
                <c:pt idx="110">
                  <c:v>4.5897673094712897E-2</c:v>
                </c:pt>
                <c:pt idx="111">
                  <c:v>2.78641088843639E-2</c:v>
                </c:pt>
                <c:pt idx="112">
                  <c:v>3.06543130072542E-2</c:v>
                </c:pt>
                <c:pt idx="113">
                  <c:v>3.3444816053511697E-2</c:v>
                </c:pt>
                <c:pt idx="114">
                  <c:v>3.3181452693647799E-2</c:v>
                </c:pt>
                <c:pt idx="115">
                  <c:v>3.9707114032638803E-2</c:v>
                </c:pt>
                <c:pt idx="116">
                  <c:v>4.23041474654378E-2</c:v>
                </c:pt>
                <c:pt idx="117">
                  <c:v>7.0893932768130496E-2</c:v>
                </c:pt>
                <c:pt idx="118">
                  <c:v>2.4994067863640002E-2</c:v>
                </c:pt>
                <c:pt idx="119">
                  <c:v>7.4127906976744207E-2</c:v>
                </c:pt>
                <c:pt idx="120">
                  <c:v>2.5492120302488E-2</c:v>
                </c:pt>
                <c:pt idx="121">
                  <c:v>2.2127659574468099E-2</c:v>
                </c:pt>
                <c:pt idx="122">
                  <c:v>2.5389814430544801E-2</c:v>
                </c:pt>
                <c:pt idx="123">
                  <c:v>1.25591382832004E-2</c:v>
                </c:pt>
                <c:pt idx="125">
                  <c:v>2.6279628993473001E-2</c:v>
                </c:pt>
                <c:pt idx="127">
                  <c:v>2.7275012569130199E-2</c:v>
                </c:pt>
                <c:pt idx="128">
                  <c:v>1.8394184431920299E-2</c:v>
                </c:pt>
                <c:pt idx="129">
                  <c:v>2.5605600073685199E-2</c:v>
                </c:pt>
                <c:pt idx="131">
                  <c:v>2.6797385620915E-2</c:v>
                </c:pt>
                <c:pt idx="132">
                  <c:v>1.4239953407105399E-2</c:v>
                </c:pt>
                <c:pt idx="133">
                  <c:v>1.6623829773977E-2</c:v>
                </c:pt>
                <c:pt idx="135">
                  <c:v>1.39625080801551E-2</c:v>
                </c:pt>
                <c:pt idx="137">
                  <c:v>1.3678175563766101E-2</c:v>
                </c:pt>
                <c:pt idx="138">
                  <c:v>9.5761434076059599E-3</c:v>
                </c:pt>
                <c:pt idx="139">
                  <c:v>1.11616751737286E-2</c:v>
                </c:pt>
                <c:pt idx="140">
                  <c:v>1.7971046647068601E-2</c:v>
                </c:pt>
                <c:pt idx="143">
                  <c:v>8.1858261498980091E-3</c:v>
                </c:pt>
                <c:pt idx="144">
                  <c:v>1.3897249610794001E-2</c:v>
                </c:pt>
                <c:pt idx="145">
                  <c:v>8.5728085003622303E-3</c:v>
                </c:pt>
                <c:pt idx="146">
                  <c:v>1.2425253789459001E-2</c:v>
                </c:pt>
                <c:pt idx="147">
                  <c:v>9.6276605880447393E-3</c:v>
                </c:pt>
                <c:pt idx="149">
                  <c:v>6.1726583516752302E-2</c:v>
                </c:pt>
                <c:pt idx="151">
                  <c:v>7.6544799929748599E-3</c:v>
                </c:pt>
                <c:pt idx="152">
                  <c:v>1.6769070800642799E-2</c:v>
                </c:pt>
                <c:pt idx="153">
                  <c:v>2.40708233700535E-2</c:v>
                </c:pt>
                <c:pt idx="154">
                  <c:v>6.9132035872870902E-3</c:v>
                </c:pt>
                <c:pt idx="155">
                  <c:v>1.5823257202567501E-2</c:v>
                </c:pt>
                <c:pt idx="159">
                  <c:v>5.4895786074564299E-3</c:v>
                </c:pt>
                <c:pt idx="160">
                  <c:v>6.4628348738038398E-3</c:v>
                </c:pt>
                <c:pt idx="164">
                  <c:v>2.35715961261352E-2</c:v>
                </c:pt>
                <c:pt idx="165">
                  <c:v>6.5800371269456003E-3</c:v>
                </c:pt>
                <c:pt idx="166">
                  <c:v>7.50822816027221E-3</c:v>
                </c:pt>
                <c:pt idx="168">
                  <c:v>1.52117249925223E-2</c:v>
                </c:pt>
                <c:pt idx="171">
                  <c:v>3.15521129522502E-3</c:v>
                </c:pt>
                <c:pt idx="172">
                  <c:v>3.3971352516161701E-3</c:v>
                </c:pt>
                <c:pt idx="173">
                  <c:v>7.6602647547713903E-3</c:v>
                </c:pt>
                <c:pt idx="174">
                  <c:v>3.8448686819184202E-3</c:v>
                </c:pt>
                <c:pt idx="175">
                  <c:v>3.5972210266831798E-3</c:v>
                </c:pt>
                <c:pt idx="176">
                  <c:v>4.2285530635201201E-3</c:v>
                </c:pt>
                <c:pt idx="177">
                  <c:v>8.3231663112629407E-3</c:v>
                </c:pt>
                <c:pt idx="178">
                  <c:v>5.1158513824779896E-3</c:v>
                </c:pt>
                <c:pt idx="179">
                  <c:v>3.30622773078016E-3</c:v>
                </c:pt>
                <c:pt idx="180">
                  <c:v>5.3514590470636796E-3</c:v>
                </c:pt>
                <c:pt idx="181">
                  <c:v>2.5956926549421601E-3</c:v>
                </c:pt>
                <c:pt idx="186">
                  <c:v>5.6092486766913304E-3</c:v>
                </c:pt>
                <c:pt idx="189">
                  <c:v>2.63424683087454E-3</c:v>
                </c:pt>
                <c:pt idx="190">
                  <c:v>2.6535950715666501E-3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6-4A15-9E0E-CD5C06732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912752"/>
        <c:axId val="794917432"/>
      </c:scatterChart>
      <c:valAx>
        <c:axId val="79491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17432"/>
        <c:crosses val="autoZero"/>
        <c:crossBetween val="midCat"/>
      </c:valAx>
      <c:valAx>
        <c:axId val="79491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1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archInterp_summary1c!$E$2:$E$242</c:f>
              <c:numCache>
                <c:formatCode>General</c:formatCode>
                <c:ptCount val="241"/>
                <c:pt idx="0">
                  <c:v>24</c:v>
                </c:pt>
                <c:pt idx="1">
                  <c:v>27</c:v>
                </c:pt>
                <c:pt idx="2">
                  <c:v>220</c:v>
                </c:pt>
                <c:pt idx="3">
                  <c:v>13239</c:v>
                </c:pt>
                <c:pt idx="4">
                  <c:v>1100</c:v>
                </c:pt>
                <c:pt idx="5">
                  <c:v>2168</c:v>
                </c:pt>
                <c:pt idx="6">
                  <c:v>105</c:v>
                </c:pt>
                <c:pt idx="7">
                  <c:v>530</c:v>
                </c:pt>
                <c:pt idx="8">
                  <c:v>4256</c:v>
                </c:pt>
                <c:pt idx="9">
                  <c:v>3662</c:v>
                </c:pt>
                <c:pt idx="10">
                  <c:v>4725</c:v>
                </c:pt>
                <c:pt idx="11">
                  <c:v>2086</c:v>
                </c:pt>
                <c:pt idx="12">
                  <c:v>20</c:v>
                </c:pt>
                <c:pt idx="13">
                  <c:v>28</c:v>
                </c:pt>
                <c:pt idx="14">
                  <c:v>535</c:v>
                </c:pt>
                <c:pt idx="15">
                  <c:v>330</c:v>
                </c:pt>
                <c:pt idx="16">
                  <c:v>209</c:v>
                </c:pt>
                <c:pt idx="17">
                  <c:v>47</c:v>
                </c:pt>
                <c:pt idx="18">
                  <c:v>3</c:v>
                </c:pt>
                <c:pt idx="19">
                  <c:v>18</c:v>
                </c:pt>
                <c:pt idx="20">
                  <c:v>77</c:v>
                </c:pt>
                <c:pt idx="21">
                  <c:v>812</c:v>
                </c:pt>
                <c:pt idx="22">
                  <c:v>501</c:v>
                </c:pt>
                <c:pt idx="23">
                  <c:v>1875</c:v>
                </c:pt>
                <c:pt idx="24">
                  <c:v>2</c:v>
                </c:pt>
                <c:pt idx="25">
                  <c:v>25</c:v>
                </c:pt>
                <c:pt idx="26">
                  <c:v>15</c:v>
                </c:pt>
                <c:pt idx="27">
                  <c:v>39</c:v>
                </c:pt>
                <c:pt idx="28">
                  <c:v>6</c:v>
                </c:pt>
                <c:pt idx="29">
                  <c:v>16</c:v>
                </c:pt>
                <c:pt idx="30">
                  <c:v>24</c:v>
                </c:pt>
                <c:pt idx="31">
                  <c:v>130</c:v>
                </c:pt>
                <c:pt idx="32">
                  <c:v>52</c:v>
                </c:pt>
                <c:pt idx="33">
                  <c:v>12</c:v>
                </c:pt>
                <c:pt idx="34">
                  <c:v>12</c:v>
                </c:pt>
                <c:pt idx="35">
                  <c:v>38</c:v>
                </c:pt>
                <c:pt idx="36">
                  <c:v>1</c:v>
                </c:pt>
                <c:pt idx="37">
                  <c:v>8</c:v>
                </c:pt>
                <c:pt idx="38">
                  <c:v>71</c:v>
                </c:pt>
                <c:pt idx="39">
                  <c:v>60</c:v>
                </c:pt>
                <c:pt idx="40">
                  <c:v>53</c:v>
                </c:pt>
                <c:pt idx="41">
                  <c:v>906</c:v>
                </c:pt>
                <c:pt idx="42">
                  <c:v>32</c:v>
                </c:pt>
                <c:pt idx="43">
                  <c:v>52</c:v>
                </c:pt>
                <c:pt idx="44">
                  <c:v>16</c:v>
                </c:pt>
                <c:pt idx="45">
                  <c:v>2</c:v>
                </c:pt>
                <c:pt idx="46">
                  <c:v>2</c:v>
                </c:pt>
                <c:pt idx="47">
                  <c:v>8</c:v>
                </c:pt>
                <c:pt idx="48">
                  <c:v>23</c:v>
                </c:pt>
                <c:pt idx="49">
                  <c:v>11</c:v>
                </c:pt>
                <c:pt idx="50">
                  <c:v>42</c:v>
                </c:pt>
                <c:pt idx="51">
                  <c:v>4</c:v>
                </c:pt>
                <c:pt idx="52">
                  <c:v>7</c:v>
                </c:pt>
                <c:pt idx="53">
                  <c:v>6</c:v>
                </c:pt>
                <c:pt idx="54">
                  <c:v>6</c:v>
                </c:pt>
                <c:pt idx="55">
                  <c:v>253</c:v>
                </c:pt>
                <c:pt idx="56">
                  <c:v>6</c:v>
                </c:pt>
                <c:pt idx="57">
                  <c:v>6</c:v>
                </c:pt>
                <c:pt idx="58">
                  <c:v>3</c:v>
                </c:pt>
                <c:pt idx="59">
                  <c:v>3</c:v>
                </c:pt>
                <c:pt idx="60">
                  <c:v>70</c:v>
                </c:pt>
                <c:pt idx="61">
                  <c:v>21</c:v>
                </c:pt>
                <c:pt idx="62">
                  <c:v>2</c:v>
                </c:pt>
                <c:pt idx="63">
                  <c:v>13</c:v>
                </c:pt>
                <c:pt idx="64">
                  <c:v>3</c:v>
                </c:pt>
                <c:pt idx="65">
                  <c:v>27</c:v>
                </c:pt>
                <c:pt idx="66">
                  <c:v>3</c:v>
                </c:pt>
                <c:pt idx="67">
                  <c:v>81</c:v>
                </c:pt>
                <c:pt idx="68">
                  <c:v>3</c:v>
                </c:pt>
                <c:pt idx="69">
                  <c:v>3</c:v>
                </c:pt>
                <c:pt idx="70">
                  <c:v>309</c:v>
                </c:pt>
                <c:pt idx="71">
                  <c:v>2</c:v>
                </c:pt>
                <c:pt idx="72">
                  <c:v>19</c:v>
                </c:pt>
                <c:pt idx="73">
                  <c:v>123</c:v>
                </c:pt>
                <c:pt idx="74">
                  <c:v>17</c:v>
                </c:pt>
                <c:pt idx="75">
                  <c:v>46</c:v>
                </c:pt>
                <c:pt idx="76">
                  <c:v>19</c:v>
                </c:pt>
                <c:pt idx="77">
                  <c:v>3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14</c:v>
                </c:pt>
                <c:pt idx="84">
                  <c:v>4</c:v>
                </c:pt>
                <c:pt idx="85">
                  <c:v>19</c:v>
                </c:pt>
                <c:pt idx="86">
                  <c:v>60</c:v>
                </c:pt>
                <c:pt idx="87">
                  <c:v>49</c:v>
                </c:pt>
                <c:pt idx="88">
                  <c:v>10</c:v>
                </c:pt>
                <c:pt idx="89">
                  <c:v>10</c:v>
                </c:pt>
                <c:pt idx="90">
                  <c:v>13</c:v>
                </c:pt>
                <c:pt idx="91">
                  <c:v>1</c:v>
                </c:pt>
                <c:pt idx="92">
                  <c:v>62</c:v>
                </c:pt>
                <c:pt idx="93">
                  <c:v>2</c:v>
                </c:pt>
                <c:pt idx="94">
                  <c:v>6</c:v>
                </c:pt>
                <c:pt idx="95">
                  <c:v>2</c:v>
                </c:pt>
                <c:pt idx="96">
                  <c:v>1</c:v>
                </c:pt>
                <c:pt idx="97">
                  <c:v>19</c:v>
                </c:pt>
                <c:pt idx="98">
                  <c:v>1</c:v>
                </c:pt>
                <c:pt idx="99">
                  <c:v>8</c:v>
                </c:pt>
                <c:pt idx="100">
                  <c:v>10</c:v>
                </c:pt>
                <c:pt idx="101">
                  <c:v>1</c:v>
                </c:pt>
                <c:pt idx="102">
                  <c:v>6</c:v>
                </c:pt>
                <c:pt idx="103">
                  <c:v>32</c:v>
                </c:pt>
                <c:pt idx="104">
                  <c:v>4</c:v>
                </c:pt>
                <c:pt idx="105">
                  <c:v>49</c:v>
                </c:pt>
                <c:pt idx="106">
                  <c:v>2</c:v>
                </c:pt>
                <c:pt idx="107">
                  <c:v>3</c:v>
                </c:pt>
                <c:pt idx="108">
                  <c:v>105</c:v>
                </c:pt>
                <c:pt idx="109">
                  <c:v>2</c:v>
                </c:pt>
                <c:pt idx="110">
                  <c:v>4</c:v>
                </c:pt>
                <c:pt idx="111">
                  <c:v>6</c:v>
                </c:pt>
                <c:pt idx="112">
                  <c:v>42</c:v>
                </c:pt>
                <c:pt idx="113">
                  <c:v>29</c:v>
                </c:pt>
                <c:pt idx="114">
                  <c:v>12</c:v>
                </c:pt>
                <c:pt idx="115">
                  <c:v>12</c:v>
                </c:pt>
                <c:pt idx="116">
                  <c:v>3</c:v>
                </c:pt>
                <c:pt idx="117">
                  <c:v>54</c:v>
                </c:pt>
                <c:pt idx="118">
                  <c:v>3</c:v>
                </c:pt>
                <c:pt idx="119">
                  <c:v>1</c:v>
                </c:pt>
                <c:pt idx="120">
                  <c:v>6</c:v>
                </c:pt>
                <c:pt idx="121">
                  <c:v>3</c:v>
                </c:pt>
                <c:pt idx="122">
                  <c:v>9</c:v>
                </c:pt>
                <c:pt idx="123">
                  <c:v>13</c:v>
                </c:pt>
                <c:pt idx="124">
                  <c:v>1</c:v>
                </c:pt>
                <c:pt idx="125">
                  <c:v>8</c:v>
                </c:pt>
                <c:pt idx="126">
                  <c:v>44</c:v>
                </c:pt>
                <c:pt idx="127">
                  <c:v>2</c:v>
                </c:pt>
                <c:pt idx="128">
                  <c:v>11</c:v>
                </c:pt>
                <c:pt idx="129">
                  <c:v>2</c:v>
                </c:pt>
                <c:pt idx="130">
                  <c:v>2</c:v>
                </c:pt>
                <c:pt idx="131">
                  <c:v>4</c:v>
                </c:pt>
                <c:pt idx="132">
                  <c:v>3</c:v>
                </c:pt>
                <c:pt idx="133">
                  <c:v>8</c:v>
                </c:pt>
                <c:pt idx="134">
                  <c:v>3</c:v>
                </c:pt>
                <c:pt idx="135">
                  <c:v>3</c:v>
                </c:pt>
                <c:pt idx="136">
                  <c:v>1</c:v>
                </c:pt>
                <c:pt idx="137">
                  <c:v>7</c:v>
                </c:pt>
                <c:pt idx="138">
                  <c:v>6</c:v>
                </c:pt>
                <c:pt idx="139">
                  <c:v>6</c:v>
                </c:pt>
                <c:pt idx="140">
                  <c:v>17</c:v>
                </c:pt>
                <c:pt idx="141">
                  <c:v>2</c:v>
                </c:pt>
                <c:pt idx="142">
                  <c:v>2</c:v>
                </c:pt>
                <c:pt idx="143">
                  <c:v>5</c:v>
                </c:pt>
                <c:pt idx="144">
                  <c:v>4</c:v>
                </c:pt>
                <c:pt idx="145">
                  <c:v>3</c:v>
                </c:pt>
                <c:pt idx="146">
                  <c:v>15</c:v>
                </c:pt>
                <c:pt idx="147">
                  <c:v>18</c:v>
                </c:pt>
                <c:pt idx="148">
                  <c:v>1</c:v>
                </c:pt>
                <c:pt idx="149">
                  <c:v>15</c:v>
                </c:pt>
                <c:pt idx="150">
                  <c:v>2</c:v>
                </c:pt>
                <c:pt idx="151">
                  <c:v>3</c:v>
                </c:pt>
                <c:pt idx="152">
                  <c:v>14</c:v>
                </c:pt>
                <c:pt idx="153">
                  <c:v>11</c:v>
                </c:pt>
                <c:pt idx="154">
                  <c:v>6</c:v>
                </c:pt>
                <c:pt idx="155">
                  <c:v>3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6</c:v>
                </c:pt>
                <c:pt idx="160">
                  <c:v>8</c:v>
                </c:pt>
                <c:pt idx="161">
                  <c:v>5</c:v>
                </c:pt>
                <c:pt idx="162">
                  <c:v>2</c:v>
                </c:pt>
                <c:pt idx="163">
                  <c:v>1</c:v>
                </c:pt>
                <c:pt idx="164">
                  <c:v>10</c:v>
                </c:pt>
                <c:pt idx="165">
                  <c:v>14</c:v>
                </c:pt>
                <c:pt idx="166">
                  <c:v>10</c:v>
                </c:pt>
                <c:pt idx="167">
                  <c:v>1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4</c:v>
                </c:pt>
                <c:pt idx="172">
                  <c:v>4</c:v>
                </c:pt>
                <c:pt idx="173">
                  <c:v>2</c:v>
                </c:pt>
                <c:pt idx="174">
                  <c:v>7</c:v>
                </c:pt>
                <c:pt idx="175">
                  <c:v>12</c:v>
                </c:pt>
                <c:pt idx="176">
                  <c:v>2</c:v>
                </c:pt>
                <c:pt idx="177">
                  <c:v>5</c:v>
                </c:pt>
                <c:pt idx="178">
                  <c:v>8</c:v>
                </c:pt>
                <c:pt idx="179">
                  <c:v>5</c:v>
                </c:pt>
                <c:pt idx="180">
                  <c:v>2</c:v>
                </c:pt>
                <c:pt idx="181">
                  <c:v>3</c:v>
                </c:pt>
                <c:pt idx="182">
                  <c:v>2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3</c:v>
                </c:pt>
                <c:pt idx="191">
                  <c:v>1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</c:numCache>
            </c:numRef>
          </c:xVal>
          <c:yVal>
            <c:numRef>
              <c:f>archInterp_summary1c!$K$2:$K$242</c:f>
              <c:numCache>
                <c:formatCode>General</c:formatCode>
                <c:ptCount val="241"/>
                <c:pt idx="0">
                  <c:v>8</c:v>
                </c:pt>
                <c:pt idx="1">
                  <c:v>12</c:v>
                </c:pt>
                <c:pt idx="2">
                  <c:v>83</c:v>
                </c:pt>
                <c:pt idx="3">
                  <c:v>3333</c:v>
                </c:pt>
                <c:pt idx="4">
                  <c:v>393</c:v>
                </c:pt>
                <c:pt idx="5">
                  <c:v>574</c:v>
                </c:pt>
                <c:pt idx="6">
                  <c:v>38</c:v>
                </c:pt>
                <c:pt idx="7">
                  <c:v>217</c:v>
                </c:pt>
                <c:pt idx="8">
                  <c:v>919</c:v>
                </c:pt>
                <c:pt idx="9">
                  <c:v>1822</c:v>
                </c:pt>
                <c:pt idx="10">
                  <c:v>585</c:v>
                </c:pt>
                <c:pt idx="11">
                  <c:v>5</c:v>
                </c:pt>
                <c:pt idx="12">
                  <c:v>8</c:v>
                </c:pt>
                <c:pt idx="13">
                  <c:v>10</c:v>
                </c:pt>
                <c:pt idx="14">
                  <c:v>147</c:v>
                </c:pt>
                <c:pt idx="15">
                  <c:v>118</c:v>
                </c:pt>
                <c:pt idx="16">
                  <c:v>17</c:v>
                </c:pt>
                <c:pt idx="17">
                  <c:v>23</c:v>
                </c:pt>
                <c:pt idx="19">
                  <c:v>7</c:v>
                </c:pt>
                <c:pt idx="20">
                  <c:v>29</c:v>
                </c:pt>
                <c:pt idx="21">
                  <c:v>237</c:v>
                </c:pt>
                <c:pt idx="22">
                  <c:v>249</c:v>
                </c:pt>
                <c:pt idx="23">
                  <c:v>135</c:v>
                </c:pt>
                <c:pt idx="24">
                  <c:v>1</c:v>
                </c:pt>
                <c:pt idx="25">
                  <c:v>11</c:v>
                </c:pt>
                <c:pt idx="26">
                  <c:v>5</c:v>
                </c:pt>
                <c:pt idx="27">
                  <c:v>17</c:v>
                </c:pt>
                <c:pt idx="28">
                  <c:v>2</c:v>
                </c:pt>
                <c:pt idx="29">
                  <c:v>4</c:v>
                </c:pt>
                <c:pt idx="30">
                  <c:v>8</c:v>
                </c:pt>
                <c:pt idx="31">
                  <c:v>65</c:v>
                </c:pt>
                <c:pt idx="32">
                  <c:v>14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7">
                  <c:v>4</c:v>
                </c:pt>
                <c:pt idx="38">
                  <c:v>25</c:v>
                </c:pt>
                <c:pt idx="40">
                  <c:v>19</c:v>
                </c:pt>
                <c:pt idx="41">
                  <c:v>211</c:v>
                </c:pt>
                <c:pt idx="42">
                  <c:v>11</c:v>
                </c:pt>
                <c:pt idx="43">
                  <c:v>25</c:v>
                </c:pt>
                <c:pt idx="44">
                  <c:v>8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8</c:v>
                </c:pt>
                <c:pt idx="50">
                  <c:v>16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122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34</c:v>
                </c:pt>
                <c:pt idx="61">
                  <c:v>7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18</c:v>
                </c:pt>
                <c:pt idx="68">
                  <c:v>1</c:v>
                </c:pt>
                <c:pt idx="69">
                  <c:v>1</c:v>
                </c:pt>
                <c:pt idx="70">
                  <c:v>69</c:v>
                </c:pt>
                <c:pt idx="71">
                  <c:v>1</c:v>
                </c:pt>
                <c:pt idx="72">
                  <c:v>5</c:v>
                </c:pt>
                <c:pt idx="73">
                  <c:v>34</c:v>
                </c:pt>
                <c:pt idx="74">
                  <c:v>6</c:v>
                </c:pt>
                <c:pt idx="75">
                  <c:v>23</c:v>
                </c:pt>
                <c:pt idx="76">
                  <c:v>7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1</c:v>
                </c:pt>
                <c:pt idx="86">
                  <c:v>18</c:v>
                </c:pt>
                <c:pt idx="87">
                  <c:v>5</c:v>
                </c:pt>
                <c:pt idx="88">
                  <c:v>3</c:v>
                </c:pt>
                <c:pt idx="89">
                  <c:v>5</c:v>
                </c:pt>
                <c:pt idx="90">
                  <c:v>5</c:v>
                </c:pt>
                <c:pt idx="91">
                  <c:v>1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7">
                  <c:v>7</c:v>
                </c:pt>
                <c:pt idx="99">
                  <c:v>4</c:v>
                </c:pt>
                <c:pt idx="100">
                  <c:v>5</c:v>
                </c:pt>
                <c:pt idx="102">
                  <c:v>2</c:v>
                </c:pt>
                <c:pt idx="103">
                  <c:v>10</c:v>
                </c:pt>
                <c:pt idx="104">
                  <c:v>2</c:v>
                </c:pt>
                <c:pt idx="105">
                  <c:v>4</c:v>
                </c:pt>
                <c:pt idx="106">
                  <c:v>1</c:v>
                </c:pt>
                <c:pt idx="107">
                  <c:v>1</c:v>
                </c:pt>
                <c:pt idx="108">
                  <c:v>52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8</c:v>
                </c:pt>
                <c:pt idx="113">
                  <c:v>7</c:v>
                </c:pt>
                <c:pt idx="114">
                  <c:v>4</c:v>
                </c:pt>
                <c:pt idx="115">
                  <c:v>6</c:v>
                </c:pt>
                <c:pt idx="116">
                  <c:v>1</c:v>
                </c:pt>
                <c:pt idx="117">
                  <c:v>27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5">
                  <c:v>2</c:v>
                </c:pt>
                <c:pt idx="127">
                  <c:v>1</c:v>
                </c:pt>
                <c:pt idx="128">
                  <c:v>4</c:v>
                </c:pt>
                <c:pt idx="129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4</c:v>
                </c:pt>
                <c:pt idx="135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6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5</c:v>
                </c:pt>
                <c:pt idx="147">
                  <c:v>5</c:v>
                </c:pt>
                <c:pt idx="149">
                  <c:v>5</c:v>
                </c:pt>
                <c:pt idx="151">
                  <c:v>1</c:v>
                </c:pt>
                <c:pt idx="152">
                  <c:v>2</c:v>
                </c:pt>
                <c:pt idx="153">
                  <c:v>3</c:v>
                </c:pt>
                <c:pt idx="154">
                  <c:v>2</c:v>
                </c:pt>
                <c:pt idx="155">
                  <c:v>1</c:v>
                </c:pt>
                <c:pt idx="159">
                  <c:v>2</c:v>
                </c:pt>
                <c:pt idx="160">
                  <c:v>3</c:v>
                </c:pt>
                <c:pt idx="164">
                  <c:v>2</c:v>
                </c:pt>
                <c:pt idx="165">
                  <c:v>3</c:v>
                </c:pt>
                <c:pt idx="166">
                  <c:v>5</c:v>
                </c:pt>
                <c:pt idx="168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5</c:v>
                </c:pt>
                <c:pt idx="176">
                  <c:v>1</c:v>
                </c:pt>
                <c:pt idx="177">
                  <c:v>4</c:v>
                </c:pt>
                <c:pt idx="178">
                  <c:v>4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6">
                  <c:v>1</c:v>
                </c:pt>
                <c:pt idx="189">
                  <c:v>1</c:v>
                </c:pt>
                <c:pt idx="19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A-48DF-AA01-B311024D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00512"/>
        <c:axId val="671412392"/>
      </c:scatterChart>
      <c:valAx>
        <c:axId val="67140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12392"/>
        <c:crosses val="autoZero"/>
        <c:crossBetween val="midCat"/>
      </c:valAx>
      <c:valAx>
        <c:axId val="6714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0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365124</xdr:colOff>
      <xdr:row>1</xdr:row>
      <xdr:rowOff>104775</xdr:rowOff>
    </xdr:from>
    <xdr:to>
      <xdr:col>24</xdr:col>
      <xdr:colOff>26457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10AD2-74A2-4D7F-11D0-7E1B3DD60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449791</xdr:colOff>
      <xdr:row>13</xdr:row>
      <xdr:rowOff>73025</xdr:rowOff>
    </xdr:from>
    <xdr:to>
      <xdr:col>22</xdr:col>
      <xdr:colOff>111124</xdr:colOff>
      <xdr:row>27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DD1C81-10F5-82A1-375D-7DE117CC6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211C-B6C5-4666-AB7F-7534F2848DD5}">
  <dimension ref="A1:P197"/>
  <sheetViews>
    <sheetView zoomScale="90" zoomScaleNormal="90" workbookViewId="0">
      <pane ySplit="1" topLeftCell="A2" activePane="bottomLeft" state="frozen"/>
      <selection pane="bottomLeft" sqref="A1:P1048576"/>
    </sheetView>
  </sheetViews>
  <sheetFormatPr defaultRowHeight="15" x14ac:dyDescent="0.25"/>
  <cols>
    <col min="3" max="3" width="46" customWidth="1"/>
    <col min="4" max="4" width="53.5703125" customWidth="1"/>
    <col min="12" max="14" width="13.285156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6" x14ac:dyDescent="0.25">
      <c r="A2">
        <v>19</v>
      </c>
      <c r="B2">
        <v>10</v>
      </c>
      <c r="C2" t="s">
        <v>14</v>
      </c>
      <c r="D2" t="s">
        <v>15</v>
      </c>
      <c r="E2">
        <v>24</v>
      </c>
      <c r="F2">
        <v>24</v>
      </c>
      <c r="G2">
        <v>1</v>
      </c>
      <c r="H2">
        <v>25</v>
      </c>
      <c r="I2">
        <v>0.96</v>
      </c>
      <c r="J2">
        <v>1.96</v>
      </c>
      <c r="K2">
        <v>8</v>
      </c>
      <c r="L2">
        <v>1</v>
      </c>
      <c r="M2">
        <v>1</v>
      </c>
      <c r="N2">
        <v>2</v>
      </c>
      <c r="O2">
        <f>LN(E2)</f>
        <v>3.1780538303479458</v>
      </c>
      <c r="P2">
        <f>LN(K2)</f>
        <v>2.0794415416798357</v>
      </c>
    </row>
    <row r="3" spans="1:16" x14ac:dyDescent="0.25">
      <c r="A3">
        <v>153</v>
      </c>
      <c r="B3">
        <v>138</v>
      </c>
      <c r="C3" t="s">
        <v>16</v>
      </c>
      <c r="D3" t="s">
        <v>17</v>
      </c>
      <c r="E3">
        <v>27</v>
      </c>
      <c r="F3">
        <v>29</v>
      </c>
      <c r="G3">
        <v>0.931034482758621</v>
      </c>
      <c r="H3">
        <v>27</v>
      </c>
      <c r="I3">
        <v>1</v>
      </c>
      <c r="J3">
        <v>1.9310344827586201</v>
      </c>
      <c r="K3">
        <v>12</v>
      </c>
      <c r="L3">
        <v>0.92307692307692302</v>
      </c>
      <c r="M3">
        <v>1</v>
      </c>
      <c r="N3">
        <v>1.92307692307692</v>
      </c>
      <c r="O3">
        <f t="shared" ref="O3:O66" si="0">LN(E3)</f>
        <v>3.2958368660043291</v>
      </c>
      <c r="P3">
        <f t="shared" ref="P3:P66" si="1">LN(K3)</f>
        <v>2.4849066497880004</v>
      </c>
    </row>
    <row r="4" spans="1:16" x14ac:dyDescent="0.25">
      <c r="A4">
        <v>1</v>
      </c>
      <c r="B4">
        <v>157</v>
      </c>
      <c r="C4" t="s">
        <v>18</v>
      </c>
      <c r="D4" t="s">
        <v>19</v>
      </c>
      <c r="E4">
        <v>220</v>
      </c>
      <c r="F4">
        <v>228</v>
      </c>
      <c r="G4">
        <v>0.96491228070175405</v>
      </c>
      <c r="H4">
        <v>228</v>
      </c>
      <c r="I4">
        <v>0.96491228070175405</v>
      </c>
      <c r="J4">
        <v>1.9298245614035101</v>
      </c>
      <c r="K4">
        <v>83</v>
      </c>
      <c r="L4">
        <v>0.97647058823529398</v>
      </c>
      <c r="M4">
        <v>0.96511627906976705</v>
      </c>
      <c r="N4">
        <v>1.94158686730506</v>
      </c>
      <c r="O4">
        <f t="shared" si="0"/>
        <v>5.393627546352362</v>
      </c>
      <c r="P4">
        <f t="shared" si="1"/>
        <v>4.4188406077965983</v>
      </c>
    </row>
    <row r="5" spans="1:16" x14ac:dyDescent="0.25">
      <c r="A5">
        <v>45</v>
      </c>
      <c r="B5">
        <v>50</v>
      </c>
      <c r="C5" t="s">
        <v>20</v>
      </c>
      <c r="D5" t="s">
        <v>21</v>
      </c>
      <c r="E5">
        <v>13239</v>
      </c>
      <c r="F5">
        <v>14583</v>
      </c>
      <c r="G5">
        <v>0.90783789343756405</v>
      </c>
      <c r="H5">
        <v>13644</v>
      </c>
      <c r="I5">
        <v>0.97031662269129304</v>
      </c>
      <c r="J5">
        <v>1.87815451612886</v>
      </c>
      <c r="K5">
        <v>3333</v>
      </c>
      <c r="L5">
        <v>0.89838274932614604</v>
      </c>
      <c r="M5">
        <v>0.971720116618076</v>
      </c>
      <c r="N5">
        <v>1.87010286594422</v>
      </c>
      <c r="O5">
        <f t="shared" si="0"/>
        <v>9.4909222979376562</v>
      </c>
      <c r="P5">
        <f t="shared" si="1"/>
        <v>8.1116280783077404</v>
      </c>
    </row>
    <row r="6" spans="1:16" x14ac:dyDescent="0.25">
      <c r="A6">
        <v>105</v>
      </c>
      <c r="B6">
        <v>100</v>
      </c>
      <c r="C6" t="s">
        <v>22</v>
      </c>
      <c r="D6" t="s">
        <v>22</v>
      </c>
      <c r="E6">
        <v>1100</v>
      </c>
      <c r="F6">
        <v>1218</v>
      </c>
      <c r="G6">
        <v>0.90311986863711002</v>
      </c>
      <c r="H6">
        <v>1139</v>
      </c>
      <c r="I6">
        <v>0.96575943810359999</v>
      </c>
      <c r="J6">
        <v>1.8688793067407099</v>
      </c>
      <c r="K6">
        <v>393</v>
      </c>
      <c r="L6">
        <v>0.90552995391705104</v>
      </c>
      <c r="M6">
        <v>0.97277227722772297</v>
      </c>
      <c r="N6">
        <v>1.8783022311447699</v>
      </c>
      <c r="O6">
        <f t="shared" si="0"/>
        <v>7.0030654587864616</v>
      </c>
      <c r="P6">
        <f t="shared" si="1"/>
        <v>5.9738096118692612</v>
      </c>
    </row>
    <row r="7" spans="1:16" x14ac:dyDescent="0.25">
      <c r="A7">
        <v>20</v>
      </c>
      <c r="B7">
        <v>35</v>
      </c>
      <c r="C7" t="s">
        <v>23</v>
      </c>
      <c r="D7" t="s">
        <v>24</v>
      </c>
      <c r="E7">
        <v>2168</v>
      </c>
      <c r="F7">
        <v>2358</v>
      </c>
      <c r="G7">
        <v>0.91942324003392695</v>
      </c>
      <c r="H7">
        <v>2287</v>
      </c>
      <c r="I7">
        <v>0.94796676869260998</v>
      </c>
      <c r="J7">
        <v>1.86739000872654</v>
      </c>
      <c r="K7">
        <v>574</v>
      </c>
      <c r="L7">
        <v>0.93790849673202603</v>
      </c>
      <c r="M7">
        <v>0.94876033057851195</v>
      </c>
      <c r="N7">
        <v>1.8866688273105401</v>
      </c>
      <c r="O7">
        <f t="shared" si="0"/>
        <v>7.6815603625595372</v>
      </c>
      <c r="P7">
        <f t="shared" si="1"/>
        <v>6.3526293963195668</v>
      </c>
    </row>
    <row r="8" spans="1:16" x14ac:dyDescent="0.25">
      <c r="A8">
        <v>43</v>
      </c>
      <c r="B8">
        <v>183</v>
      </c>
      <c r="C8" t="s">
        <v>25</v>
      </c>
      <c r="D8" t="s">
        <v>26</v>
      </c>
      <c r="E8">
        <v>105</v>
      </c>
      <c r="F8">
        <v>121</v>
      </c>
      <c r="G8">
        <v>0.86776859504132198</v>
      </c>
      <c r="H8">
        <v>107</v>
      </c>
      <c r="I8">
        <v>0.98130841121495305</v>
      </c>
      <c r="J8">
        <v>1.84907700625628</v>
      </c>
      <c r="K8">
        <v>38</v>
      </c>
      <c r="L8">
        <v>0.82608695652173902</v>
      </c>
      <c r="M8">
        <v>0.97435897435897401</v>
      </c>
      <c r="N8">
        <v>1.8004459308807099</v>
      </c>
      <c r="O8">
        <f t="shared" si="0"/>
        <v>4.6539603501575231</v>
      </c>
      <c r="P8">
        <f t="shared" si="1"/>
        <v>3.6375861597263857</v>
      </c>
    </row>
    <row r="9" spans="1:16" x14ac:dyDescent="0.25">
      <c r="A9">
        <v>183</v>
      </c>
      <c r="B9">
        <v>163</v>
      </c>
      <c r="C9" t="s">
        <v>27</v>
      </c>
      <c r="D9" t="s">
        <v>28</v>
      </c>
      <c r="E9">
        <v>530</v>
      </c>
      <c r="F9">
        <v>614</v>
      </c>
      <c r="G9">
        <v>0.86319218241042395</v>
      </c>
      <c r="H9">
        <v>586</v>
      </c>
      <c r="I9">
        <v>0.90443686006825896</v>
      </c>
      <c r="J9">
        <v>1.76762904247868</v>
      </c>
      <c r="K9">
        <v>217</v>
      </c>
      <c r="L9">
        <v>0.85433070866141703</v>
      </c>
      <c r="M9">
        <v>0.939393939393939</v>
      </c>
      <c r="N9">
        <v>1.7937246480553599</v>
      </c>
      <c r="O9">
        <f t="shared" si="0"/>
        <v>6.2728770065461674</v>
      </c>
      <c r="P9">
        <f t="shared" si="1"/>
        <v>5.3798973535404597</v>
      </c>
    </row>
    <row r="10" spans="1:16" x14ac:dyDescent="0.25">
      <c r="A10">
        <v>119</v>
      </c>
      <c r="B10">
        <v>119</v>
      </c>
      <c r="C10" t="s">
        <v>29</v>
      </c>
      <c r="D10" t="s">
        <v>29</v>
      </c>
      <c r="E10">
        <v>4256</v>
      </c>
      <c r="F10">
        <v>4655</v>
      </c>
      <c r="G10">
        <v>0.91428571428571404</v>
      </c>
      <c r="H10">
        <v>5305</v>
      </c>
      <c r="I10">
        <v>0.802262016965127</v>
      </c>
      <c r="J10">
        <v>1.7165477312508399</v>
      </c>
      <c r="K10">
        <v>919</v>
      </c>
      <c r="L10">
        <v>0.90186457311089296</v>
      </c>
      <c r="M10">
        <v>0.78212765957446795</v>
      </c>
      <c r="N10">
        <v>1.68399223268536</v>
      </c>
      <c r="O10">
        <f t="shared" si="0"/>
        <v>8.3560850310214807</v>
      </c>
      <c r="P10">
        <f t="shared" si="1"/>
        <v>6.8232861223556869</v>
      </c>
    </row>
    <row r="11" spans="1:16" x14ac:dyDescent="0.25">
      <c r="A11">
        <v>6</v>
      </c>
      <c r="B11">
        <v>27</v>
      </c>
      <c r="C11" t="s">
        <v>30</v>
      </c>
      <c r="D11" t="s">
        <v>31</v>
      </c>
      <c r="E11">
        <v>3662</v>
      </c>
      <c r="F11">
        <v>4705</v>
      </c>
      <c r="G11">
        <v>0.77832093517534495</v>
      </c>
      <c r="H11">
        <v>3924</v>
      </c>
      <c r="I11">
        <v>0.93323139653414899</v>
      </c>
      <c r="J11">
        <v>1.7115523317094901</v>
      </c>
      <c r="K11">
        <v>1822</v>
      </c>
      <c r="L11">
        <v>0.77963200684638401</v>
      </c>
      <c r="M11">
        <v>0.94797086368366301</v>
      </c>
      <c r="N11">
        <v>1.7276028705300499</v>
      </c>
      <c r="O11">
        <f t="shared" si="0"/>
        <v>8.2057647252344559</v>
      </c>
      <c r="P11">
        <f t="shared" si="1"/>
        <v>7.5076900778199036</v>
      </c>
    </row>
    <row r="12" spans="1:16" x14ac:dyDescent="0.25">
      <c r="A12">
        <v>137</v>
      </c>
      <c r="B12">
        <v>171</v>
      </c>
      <c r="C12" t="s">
        <v>32</v>
      </c>
      <c r="D12" t="s">
        <v>33</v>
      </c>
      <c r="E12">
        <v>4725</v>
      </c>
      <c r="F12">
        <v>6729</v>
      </c>
      <c r="G12">
        <v>0.70218457423094105</v>
      </c>
      <c r="H12">
        <v>4779</v>
      </c>
      <c r="I12">
        <v>0.98870056497175096</v>
      </c>
      <c r="J12">
        <v>1.69088513920269</v>
      </c>
      <c r="K12">
        <v>585</v>
      </c>
      <c r="L12">
        <v>0.78523489932885904</v>
      </c>
      <c r="M12">
        <v>0.97826086956521696</v>
      </c>
      <c r="N12">
        <v>1.76349576889408</v>
      </c>
      <c r="O12">
        <f t="shared" si="0"/>
        <v>8.4606228399278436</v>
      </c>
      <c r="P12">
        <f t="shared" si="1"/>
        <v>6.3716118472318568</v>
      </c>
    </row>
    <row r="13" spans="1:16" x14ac:dyDescent="0.25">
      <c r="A13">
        <v>155</v>
      </c>
      <c r="B13">
        <v>139</v>
      </c>
      <c r="C13" t="s">
        <v>34</v>
      </c>
      <c r="D13" t="s">
        <v>35</v>
      </c>
      <c r="E13">
        <v>2086</v>
      </c>
      <c r="F13">
        <v>2458</v>
      </c>
      <c r="G13">
        <v>0.84865744507729901</v>
      </c>
      <c r="H13">
        <v>2533</v>
      </c>
      <c r="I13">
        <v>0.82352941176470595</v>
      </c>
      <c r="J13">
        <v>1.672186856842</v>
      </c>
      <c r="K13">
        <v>5</v>
      </c>
      <c r="L13">
        <v>5.7471264367816098E-2</v>
      </c>
      <c r="M13">
        <v>3.5211267605633798E-2</v>
      </c>
      <c r="N13">
        <v>9.2682531973449903E-2</v>
      </c>
      <c r="O13">
        <f t="shared" si="0"/>
        <v>7.643003635560718</v>
      </c>
      <c r="P13">
        <f t="shared" si="1"/>
        <v>1.6094379124341003</v>
      </c>
    </row>
    <row r="14" spans="1:16" x14ac:dyDescent="0.25">
      <c r="A14">
        <v>91</v>
      </c>
      <c r="B14">
        <v>46</v>
      </c>
      <c r="C14" t="s">
        <v>36</v>
      </c>
      <c r="D14" t="s">
        <v>37</v>
      </c>
      <c r="E14">
        <v>20</v>
      </c>
      <c r="F14">
        <v>23</v>
      </c>
      <c r="G14">
        <v>0.86956521739130399</v>
      </c>
      <c r="H14">
        <v>27</v>
      </c>
      <c r="I14">
        <v>0.74074074074074103</v>
      </c>
      <c r="J14">
        <v>1.61030595813205</v>
      </c>
      <c r="K14">
        <v>8</v>
      </c>
      <c r="L14">
        <v>0.88888888888888895</v>
      </c>
      <c r="M14">
        <v>0.8</v>
      </c>
      <c r="N14">
        <v>1.68888888888889</v>
      </c>
      <c r="O14">
        <f t="shared" si="0"/>
        <v>2.9957322735539909</v>
      </c>
      <c r="P14">
        <f t="shared" si="1"/>
        <v>2.0794415416798357</v>
      </c>
    </row>
    <row r="15" spans="1:16" x14ac:dyDescent="0.25">
      <c r="A15">
        <v>38</v>
      </c>
      <c r="B15">
        <v>12</v>
      </c>
      <c r="C15" t="s">
        <v>38</v>
      </c>
      <c r="D15" t="s">
        <v>38</v>
      </c>
      <c r="E15">
        <v>28</v>
      </c>
      <c r="F15">
        <v>45</v>
      </c>
      <c r="G15">
        <v>0.62222222222222201</v>
      </c>
      <c r="H15">
        <v>31</v>
      </c>
      <c r="I15">
        <v>0.90322580645161299</v>
      </c>
      <c r="J15">
        <v>1.5254480286738401</v>
      </c>
      <c r="K15">
        <v>10</v>
      </c>
      <c r="L15">
        <v>0.625</v>
      </c>
      <c r="M15">
        <v>0.90909090909090895</v>
      </c>
      <c r="N15">
        <v>1.5340909090909101</v>
      </c>
      <c r="O15">
        <f t="shared" si="0"/>
        <v>3.3322045101752038</v>
      </c>
      <c r="P15">
        <f t="shared" si="1"/>
        <v>2.3025850929940459</v>
      </c>
    </row>
    <row r="16" spans="1:16" x14ac:dyDescent="0.25">
      <c r="A16">
        <v>169</v>
      </c>
      <c r="B16">
        <v>91</v>
      </c>
      <c r="C16" t="s">
        <v>39</v>
      </c>
      <c r="D16" t="s">
        <v>40</v>
      </c>
      <c r="E16">
        <v>535</v>
      </c>
      <c r="F16">
        <v>623</v>
      </c>
      <c r="G16">
        <v>0.85874799357945397</v>
      </c>
      <c r="H16">
        <v>879</v>
      </c>
      <c r="I16">
        <v>0.608646188850967</v>
      </c>
      <c r="J16">
        <v>1.46739418243042</v>
      </c>
      <c r="K16">
        <v>147</v>
      </c>
      <c r="L16">
        <v>0.880239520958084</v>
      </c>
      <c r="M16">
        <v>0.54646840148698905</v>
      </c>
      <c r="N16">
        <v>1.4267079224450701</v>
      </c>
      <c r="O16">
        <f t="shared" si="0"/>
        <v>6.2822667468960063</v>
      </c>
      <c r="P16">
        <f t="shared" si="1"/>
        <v>4.990432586778736</v>
      </c>
    </row>
    <row r="17" spans="1:16" x14ac:dyDescent="0.25">
      <c r="A17">
        <v>94</v>
      </c>
      <c r="B17">
        <v>92</v>
      </c>
      <c r="C17" t="s">
        <v>41</v>
      </c>
      <c r="D17" t="s">
        <v>40</v>
      </c>
      <c r="E17">
        <v>330</v>
      </c>
      <c r="F17">
        <v>451</v>
      </c>
      <c r="G17">
        <v>0.73170731707317105</v>
      </c>
      <c r="H17">
        <v>879</v>
      </c>
      <c r="I17">
        <v>0.37542662116040998</v>
      </c>
      <c r="J17">
        <v>1.1071339382335801</v>
      </c>
      <c r="K17">
        <v>118</v>
      </c>
      <c r="L17">
        <v>0.71951219512195097</v>
      </c>
      <c r="M17">
        <v>0.43866171003717502</v>
      </c>
      <c r="N17">
        <v>1.15817390515913</v>
      </c>
      <c r="O17">
        <f t="shared" si="0"/>
        <v>5.7990926544605257</v>
      </c>
      <c r="P17">
        <f t="shared" si="1"/>
        <v>4.7706846244656651</v>
      </c>
    </row>
    <row r="18" spans="1:16" x14ac:dyDescent="0.25">
      <c r="A18">
        <v>192</v>
      </c>
      <c r="B18">
        <v>187</v>
      </c>
      <c r="C18" t="s">
        <v>42</v>
      </c>
      <c r="D18" t="s">
        <v>42</v>
      </c>
      <c r="E18">
        <v>209</v>
      </c>
      <c r="F18">
        <v>214</v>
      </c>
      <c r="G18">
        <v>0.97663551401869197</v>
      </c>
      <c r="H18">
        <v>3128</v>
      </c>
      <c r="I18">
        <v>6.6815856777493604E-2</v>
      </c>
      <c r="J18">
        <v>1.0434513707961901</v>
      </c>
      <c r="K18">
        <v>17</v>
      </c>
      <c r="L18">
        <v>1</v>
      </c>
      <c r="M18">
        <v>3.7362637362637403E-2</v>
      </c>
      <c r="N18">
        <v>1.0373626373626399</v>
      </c>
      <c r="O18">
        <f t="shared" si="0"/>
        <v>5.3423342519648109</v>
      </c>
      <c r="P18">
        <f t="shared" si="1"/>
        <v>2.8332133440562162</v>
      </c>
    </row>
    <row r="19" spans="1:16" x14ac:dyDescent="0.25">
      <c r="A19">
        <v>184</v>
      </c>
      <c r="B19">
        <v>132</v>
      </c>
      <c r="C19" t="s">
        <v>27</v>
      </c>
      <c r="D19" t="s">
        <v>43</v>
      </c>
      <c r="E19">
        <v>47</v>
      </c>
      <c r="F19">
        <v>614</v>
      </c>
      <c r="G19">
        <v>7.6547231270358299E-2</v>
      </c>
      <c r="H19">
        <v>50</v>
      </c>
      <c r="I19">
        <v>0.94</v>
      </c>
      <c r="J19">
        <v>1.0165472312703601</v>
      </c>
      <c r="K19">
        <v>23</v>
      </c>
      <c r="L19">
        <v>9.0551181102362197E-2</v>
      </c>
      <c r="M19">
        <v>0.95833333333333304</v>
      </c>
      <c r="N19">
        <v>1.0488845144357</v>
      </c>
      <c r="O19">
        <f t="shared" si="0"/>
        <v>3.8501476017100584</v>
      </c>
      <c r="P19">
        <f t="shared" si="1"/>
        <v>3.1354942159291497</v>
      </c>
    </row>
    <row r="20" spans="1:16" x14ac:dyDescent="0.25">
      <c r="A20">
        <v>147</v>
      </c>
      <c r="B20">
        <v>170</v>
      </c>
      <c r="C20" t="s">
        <v>32</v>
      </c>
      <c r="D20" t="s">
        <v>44</v>
      </c>
      <c r="E20">
        <v>3</v>
      </c>
      <c r="F20">
        <v>6729</v>
      </c>
      <c r="G20">
        <v>4.4583147570218499E-4</v>
      </c>
      <c r="H20">
        <v>3</v>
      </c>
      <c r="I20">
        <v>1</v>
      </c>
      <c r="J20">
        <v>1.0004458314757001</v>
      </c>
      <c r="O20">
        <f t="shared" si="0"/>
        <v>1.0986122886681098</v>
      </c>
    </row>
    <row r="21" spans="1:16" x14ac:dyDescent="0.25">
      <c r="A21">
        <v>185</v>
      </c>
      <c r="B21">
        <v>161</v>
      </c>
      <c r="C21" t="s">
        <v>27</v>
      </c>
      <c r="D21" t="s">
        <v>45</v>
      </c>
      <c r="E21">
        <v>18</v>
      </c>
      <c r="F21">
        <v>614</v>
      </c>
      <c r="G21">
        <v>2.9315960912052099E-2</v>
      </c>
      <c r="H21">
        <v>19</v>
      </c>
      <c r="I21">
        <v>0.94736842105263197</v>
      </c>
      <c r="J21">
        <v>0.97668438196468399</v>
      </c>
      <c r="K21">
        <v>7</v>
      </c>
      <c r="L21">
        <v>2.7559055118110201E-2</v>
      </c>
      <c r="M21">
        <v>0.875</v>
      </c>
      <c r="N21">
        <v>0.90255905511810997</v>
      </c>
      <c r="O21">
        <f t="shared" si="0"/>
        <v>2.8903717578961645</v>
      </c>
      <c r="P21">
        <f t="shared" si="1"/>
        <v>1.9459101490553132</v>
      </c>
    </row>
    <row r="22" spans="1:16" x14ac:dyDescent="0.25">
      <c r="A22">
        <v>81</v>
      </c>
      <c r="B22">
        <v>73</v>
      </c>
      <c r="C22" t="s">
        <v>46</v>
      </c>
      <c r="D22" t="s">
        <v>46</v>
      </c>
      <c r="E22">
        <v>77</v>
      </c>
      <c r="F22">
        <v>126</v>
      </c>
      <c r="G22">
        <v>0.61111111111111105</v>
      </c>
      <c r="H22">
        <v>220</v>
      </c>
      <c r="I22">
        <v>0.35</v>
      </c>
      <c r="J22">
        <v>0.96111111111111103</v>
      </c>
      <c r="K22">
        <v>29</v>
      </c>
      <c r="L22">
        <v>0.61702127659574502</v>
      </c>
      <c r="M22">
        <v>0.367088607594937</v>
      </c>
      <c r="N22">
        <v>0.98410988419068102</v>
      </c>
      <c r="O22">
        <f t="shared" si="0"/>
        <v>4.3438054218536841</v>
      </c>
      <c r="P22">
        <f t="shared" si="1"/>
        <v>3.3672958299864741</v>
      </c>
    </row>
    <row r="23" spans="1:16" x14ac:dyDescent="0.25">
      <c r="A23">
        <v>65</v>
      </c>
      <c r="B23">
        <v>186</v>
      </c>
      <c r="C23" t="s">
        <v>47</v>
      </c>
      <c r="D23" t="s">
        <v>42</v>
      </c>
      <c r="E23">
        <v>812</v>
      </c>
      <c r="F23">
        <v>1165</v>
      </c>
      <c r="G23">
        <v>0.69699570815450596</v>
      </c>
      <c r="H23">
        <v>3128</v>
      </c>
      <c r="I23">
        <v>0.25959079283887498</v>
      </c>
      <c r="J23">
        <v>0.95658650099338105</v>
      </c>
      <c r="K23">
        <v>237</v>
      </c>
      <c r="L23">
        <v>0.73602484472049701</v>
      </c>
      <c r="M23">
        <v>0.52087912087912103</v>
      </c>
      <c r="N23">
        <v>1.2569039655996199</v>
      </c>
      <c r="O23">
        <f t="shared" si="0"/>
        <v>6.6995003401616779</v>
      </c>
      <c r="P23">
        <f t="shared" si="1"/>
        <v>5.4680601411351315</v>
      </c>
    </row>
    <row r="24" spans="1:16" x14ac:dyDescent="0.25">
      <c r="A24">
        <v>7</v>
      </c>
      <c r="B24">
        <v>21</v>
      </c>
      <c r="C24" t="s">
        <v>30</v>
      </c>
      <c r="D24" t="s">
        <v>48</v>
      </c>
      <c r="E24">
        <v>501</v>
      </c>
      <c r="F24">
        <v>4705</v>
      </c>
      <c r="G24">
        <v>0.106482465462274</v>
      </c>
      <c r="H24">
        <v>636</v>
      </c>
      <c r="I24">
        <v>0.78773584905660399</v>
      </c>
      <c r="J24">
        <v>0.89421831451887801</v>
      </c>
      <c r="K24">
        <v>249</v>
      </c>
      <c r="L24">
        <v>0.106546854942234</v>
      </c>
      <c r="M24">
        <v>0.79047619047619</v>
      </c>
      <c r="N24">
        <v>0.89702304541842404</v>
      </c>
      <c r="O24">
        <f t="shared" si="0"/>
        <v>6.2166061010848646</v>
      </c>
      <c r="P24">
        <f t="shared" si="1"/>
        <v>5.5174528964647074</v>
      </c>
    </row>
    <row r="25" spans="1:16" x14ac:dyDescent="0.25">
      <c r="A25">
        <v>138</v>
      </c>
      <c r="B25">
        <v>185</v>
      </c>
      <c r="C25" t="s">
        <v>32</v>
      </c>
      <c r="D25" t="s">
        <v>42</v>
      </c>
      <c r="E25">
        <v>1875</v>
      </c>
      <c r="F25">
        <v>6729</v>
      </c>
      <c r="G25">
        <v>0.27864467231386503</v>
      </c>
      <c r="H25">
        <v>3128</v>
      </c>
      <c r="I25">
        <v>0.59942455242966797</v>
      </c>
      <c r="J25">
        <v>0.87806922474353299</v>
      </c>
      <c r="K25">
        <v>135</v>
      </c>
      <c r="L25">
        <v>0.18120805369127499</v>
      </c>
      <c r="M25">
        <v>0.29670329670329698</v>
      </c>
      <c r="N25">
        <v>0.477911350394572</v>
      </c>
      <c r="O25">
        <f t="shared" si="0"/>
        <v>7.5363639384045111</v>
      </c>
      <c r="P25">
        <f t="shared" si="1"/>
        <v>4.9052747784384296</v>
      </c>
    </row>
    <row r="26" spans="1:16" x14ac:dyDescent="0.25">
      <c r="A26">
        <v>179</v>
      </c>
      <c r="B26">
        <v>8</v>
      </c>
      <c r="C26" t="s">
        <v>39</v>
      </c>
      <c r="D26" t="s">
        <v>49</v>
      </c>
      <c r="E26">
        <v>2</v>
      </c>
      <c r="F26">
        <v>623</v>
      </c>
      <c r="G26">
        <v>3.2102728731942202E-3</v>
      </c>
      <c r="H26">
        <v>3</v>
      </c>
      <c r="I26">
        <v>0.66666666666666696</v>
      </c>
      <c r="J26">
        <v>0.66987693953986105</v>
      </c>
      <c r="K26">
        <v>1</v>
      </c>
      <c r="L26">
        <v>5.9880239520958096E-3</v>
      </c>
      <c r="M26">
        <v>1</v>
      </c>
      <c r="N26">
        <v>1.0059880239521</v>
      </c>
      <c r="O26">
        <f t="shared" si="0"/>
        <v>0.69314718055994529</v>
      </c>
      <c r="P26">
        <f t="shared" si="1"/>
        <v>0</v>
      </c>
    </row>
    <row r="27" spans="1:16" x14ac:dyDescent="0.25">
      <c r="A27">
        <v>107</v>
      </c>
      <c r="B27">
        <v>42</v>
      </c>
      <c r="C27" t="s">
        <v>22</v>
      </c>
      <c r="D27" t="s">
        <v>50</v>
      </c>
      <c r="E27">
        <v>25</v>
      </c>
      <c r="F27">
        <v>1218</v>
      </c>
      <c r="G27">
        <v>2.05254515599343E-2</v>
      </c>
      <c r="H27">
        <v>40</v>
      </c>
      <c r="I27">
        <v>0.625</v>
      </c>
      <c r="J27">
        <v>0.64552545155993402</v>
      </c>
      <c r="K27">
        <v>11</v>
      </c>
      <c r="L27">
        <v>2.5345622119815701E-2</v>
      </c>
      <c r="M27">
        <v>0.6875</v>
      </c>
      <c r="N27">
        <v>0.71284562211981595</v>
      </c>
      <c r="O27">
        <f t="shared" si="0"/>
        <v>3.2188758248682006</v>
      </c>
      <c r="P27">
        <f t="shared" si="1"/>
        <v>2.3978952727983707</v>
      </c>
    </row>
    <row r="28" spans="1:16" x14ac:dyDescent="0.25">
      <c r="A28">
        <v>108</v>
      </c>
      <c r="B28">
        <v>109</v>
      </c>
      <c r="C28" t="s">
        <v>22</v>
      </c>
      <c r="D28" t="s">
        <v>51</v>
      </c>
      <c r="E28">
        <v>15</v>
      </c>
      <c r="F28">
        <v>1218</v>
      </c>
      <c r="G28">
        <v>1.23152709359606E-2</v>
      </c>
      <c r="H28">
        <v>24</v>
      </c>
      <c r="I28">
        <v>0.625</v>
      </c>
      <c r="J28">
        <v>0.63731527093596096</v>
      </c>
      <c r="K28">
        <v>5</v>
      </c>
      <c r="L28">
        <v>1.1520737327188901E-2</v>
      </c>
      <c r="M28">
        <v>0.625</v>
      </c>
      <c r="N28">
        <v>0.63652073732718895</v>
      </c>
      <c r="O28">
        <f t="shared" si="0"/>
        <v>2.7080502011022101</v>
      </c>
      <c r="P28">
        <f t="shared" si="1"/>
        <v>1.6094379124341003</v>
      </c>
    </row>
    <row r="29" spans="1:16" x14ac:dyDescent="0.25">
      <c r="A29">
        <v>52</v>
      </c>
      <c r="B29">
        <v>1</v>
      </c>
      <c r="C29" t="s">
        <v>20</v>
      </c>
      <c r="D29" t="s">
        <v>52</v>
      </c>
      <c r="E29">
        <v>39</v>
      </c>
      <c r="F29">
        <v>14583</v>
      </c>
      <c r="G29">
        <v>2.67434684221354E-3</v>
      </c>
      <c r="H29">
        <v>62</v>
      </c>
      <c r="I29">
        <v>0.62903225806451601</v>
      </c>
      <c r="J29">
        <v>0.63170660490673003</v>
      </c>
      <c r="K29">
        <v>17</v>
      </c>
      <c r="L29">
        <v>4.5822102425875999E-3</v>
      </c>
      <c r="M29">
        <v>0.73913043478260898</v>
      </c>
      <c r="N29">
        <v>0.74371264502519596</v>
      </c>
      <c r="O29">
        <f t="shared" si="0"/>
        <v>3.6635616461296463</v>
      </c>
      <c r="P29">
        <f t="shared" si="1"/>
        <v>2.8332133440562162</v>
      </c>
    </row>
    <row r="30" spans="1:16" x14ac:dyDescent="0.25">
      <c r="A30">
        <v>76</v>
      </c>
      <c r="B30">
        <v>135</v>
      </c>
      <c r="C30" t="s">
        <v>47</v>
      </c>
      <c r="D30" t="s">
        <v>53</v>
      </c>
      <c r="E30">
        <v>6</v>
      </c>
      <c r="F30">
        <v>1165</v>
      </c>
      <c r="G30">
        <v>5.15021459227468E-3</v>
      </c>
      <c r="H30">
        <v>10</v>
      </c>
      <c r="I30">
        <v>0.6</v>
      </c>
      <c r="J30">
        <v>0.60515021459227503</v>
      </c>
      <c r="K30">
        <v>2</v>
      </c>
      <c r="L30">
        <v>6.2111801242236003E-3</v>
      </c>
      <c r="M30">
        <v>0.5</v>
      </c>
      <c r="N30">
        <v>0.50621118012422395</v>
      </c>
      <c r="O30">
        <f t="shared" si="0"/>
        <v>1.791759469228055</v>
      </c>
      <c r="P30">
        <f t="shared" si="1"/>
        <v>0.69314718055994529</v>
      </c>
    </row>
    <row r="31" spans="1:16" x14ac:dyDescent="0.25">
      <c r="A31">
        <v>35</v>
      </c>
      <c r="B31">
        <v>77</v>
      </c>
      <c r="C31" t="s">
        <v>54</v>
      </c>
      <c r="D31" t="s">
        <v>46</v>
      </c>
      <c r="E31">
        <v>16</v>
      </c>
      <c r="F31">
        <v>31</v>
      </c>
      <c r="G31">
        <v>0.51612903225806495</v>
      </c>
      <c r="H31">
        <v>220</v>
      </c>
      <c r="I31">
        <v>7.2727272727272696E-2</v>
      </c>
      <c r="J31">
        <v>0.58885630498533703</v>
      </c>
      <c r="K31">
        <v>4</v>
      </c>
      <c r="L31">
        <v>0.5</v>
      </c>
      <c r="M31">
        <v>5.0632911392405097E-2</v>
      </c>
      <c r="N31">
        <v>0.550632911392405</v>
      </c>
      <c r="O31">
        <f t="shared" si="0"/>
        <v>2.7725887222397811</v>
      </c>
      <c r="P31">
        <f t="shared" si="1"/>
        <v>1.3862943611198906</v>
      </c>
    </row>
    <row r="32" spans="1:16" x14ac:dyDescent="0.25">
      <c r="A32">
        <v>53</v>
      </c>
      <c r="B32">
        <v>87</v>
      </c>
      <c r="C32" t="s">
        <v>20</v>
      </c>
      <c r="D32" t="s">
        <v>55</v>
      </c>
      <c r="E32">
        <v>24</v>
      </c>
      <c r="F32">
        <v>14583</v>
      </c>
      <c r="G32">
        <v>1.6457519029006401E-3</v>
      </c>
      <c r="H32">
        <v>41</v>
      </c>
      <c r="I32">
        <v>0.58536585365853699</v>
      </c>
      <c r="J32">
        <v>0.58701160556143706</v>
      </c>
      <c r="K32">
        <v>8</v>
      </c>
      <c r="L32">
        <v>2.1563342318059301E-3</v>
      </c>
      <c r="M32">
        <v>0.53333333333333299</v>
      </c>
      <c r="N32">
        <v>0.53548966756513905</v>
      </c>
      <c r="O32">
        <f t="shared" si="0"/>
        <v>3.1780538303479458</v>
      </c>
      <c r="P32">
        <f t="shared" si="1"/>
        <v>2.0794415416798357</v>
      </c>
    </row>
    <row r="33" spans="1:16" x14ac:dyDescent="0.25">
      <c r="A33">
        <v>9</v>
      </c>
      <c r="B33">
        <v>151</v>
      </c>
      <c r="C33" t="s">
        <v>30</v>
      </c>
      <c r="D33" t="s">
        <v>56</v>
      </c>
      <c r="E33">
        <v>130</v>
      </c>
      <c r="F33">
        <v>4705</v>
      </c>
      <c r="G33">
        <v>2.7630180658873502E-2</v>
      </c>
      <c r="H33">
        <v>244</v>
      </c>
      <c r="I33">
        <v>0.53278688524590201</v>
      </c>
      <c r="J33">
        <v>0.56041706590477502</v>
      </c>
      <c r="K33">
        <v>65</v>
      </c>
      <c r="L33">
        <v>2.78134360290971E-2</v>
      </c>
      <c r="M33">
        <v>0.76470588235294101</v>
      </c>
      <c r="N33">
        <v>0.79251931838203804</v>
      </c>
      <c r="O33">
        <f t="shared" si="0"/>
        <v>4.8675344504555822</v>
      </c>
      <c r="P33">
        <f t="shared" si="1"/>
        <v>4.1743872698956368</v>
      </c>
    </row>
    <row r="34" spans="1:16" x14ac:dyDescent="0.25">
      <c r="A34">
        <v>139</v>
      </c>
      <c r="B34">
        <v>14</v>
      </c>
      <c r="C34" t="s">
        <v>32</v>
      </c>
      <c r="D34" t="s">
        <v>57</v>
      </c>
      <c r="E34">
        <v>52</v>
      </c>
      <c r="F34">
        <v>6729</v>
      </c>
      <c r="G34">
        <v>7.7277455788378703E-3</v>
      </c>
      <c r="H34">
        <v>113</v>
      </c>
      <c r="I34">
        <v>0.46017699115044203</v>
      </c>
      <c r="J34">
        <v>0.46790473672928001</v>
      </c>
      <c r="K34">
        <v>14</v>
      </c>
      <c r="L34">
        <v>1.87919463087248E-2</v>
      </c>
      <c r="M34">
        <v>0.56000000000000005</v>
      </c>
      <c r="N34">
        <v>0.57879194630872499</v>
      </c>
      <c r="O34">
        <f t="shared" si="0"/>
        <v>3.9512437185814275</v>
      </c>
      <c r="P34">
        <f t="shared" si="1"/>
        <v>2.6390573296152584</v>
      </c>
    </row>
    <row r="35" spans="1:16" x14ac:dyDescent="0.25">
      <c r="A35">
        <v>55</v>
      </c>
      <c r="B35">
        <v>113</v>
      </c>
      <c r="C35" t="s">
        <v>20</v>
      </c>
      <c r="D35" t="s">
        <v>58</v>
      </c>
      <c r="E35">
        <v>12</v>
      </c>
      <c r="F35">
        <v>14583</v>
      </c>
      <c r="G35">
        <v>8.2287595145031896E-4</v>
      </c>
      <c r="H35">
        <v>28</v>
      </c>
      <c r="I35">
        <v>0.42857142857142899</v>
      </c>
      <c r="J35">
        <v>0.42939430452287902</v>
      </c>
      <c r="K35">
        <v>6</v>
      </c>
      <c r="L35">
        <v>1.6172506738544501E-3</v>
      </c>
      <c r="M35">
        <v>0.46153846153846201</v>
      </c>
      <c r="N35">
        <v>0.463155712212316</v>
      </c>
      <c r="O35">
        <f t="shared" si="0"/>
        <v>2.4849066497880004</v>
      </c>
      <c r="P35">
        <f t="shared" si="1"/>
        <v>1.791759469228055</v>
      </c>
    </row>
    <row r="36" spans="1:16" x14ac:dyDescent="0.25">
      <c r="A36">
        <v>36</v>
      </c>
      <c r="B36">
        <v>193</v>
      </c>
      <c r="C36" t="s">
        <v>54</v>
      </c>
      <c r="D36" t="s">
        <v>42</v>
      </c>
      <c r="E36">
        <v>12</v>
      </c>
      <c r="F36">
        <v>31</v>
      </c>
      <c r="G36">
        <v>0.38709677419354799</v>
      </c>
      <c r="H36">
        <v>3128</v>
      </c>
      <c r="I36">
        <v>3.8363171355498701E-3</v>
      </c>
      <c r="J36">
        <v>0.39093309132909798</v>
      </c>
      <c r="K36">
        <v>3</v>
      </c>
      <c r="L36">
        <v>0.375</v>
      </c>
      <c r="M36">
        <v>6.5934065934065899E-3</v>
      </c>
      <c r="N36">
        <v>0.38159340659340701</v>
      </c>
      <c r="O36">
        <f t="shared" si="0"/>
        <v>2.4849066497880004</v>
      </c>
      <c r="P36">
        <f t="shared" si="1"/>
        <v>1.0986122886681098</v>
      </c>
    </row>
    <row r="37" spans="1:16" x14ac:dyDescent="0.25">
      <c r="A37">
        <v>70</v>
      </c>
      <c r="B37">
        <v>15</v>
      </c>
      <c r="C37" t="s">
        <v>47</v>
      </c>
      <c r="D37" t="s">
        <v>57</v>
      </c>
      <c r="E37">
        <v>38</v>
      </c>
      <c r="F37">
        <v>1165</v>
      </c>
      <c r="G37">
        <v>3.2618025751072997E-2</v>
      </c>
      <c r="H37">
        <v>113</v>
      </c>
      <c r="I37">
        <v>0.33628318584070799</v>
      </c>
      <c r="J37">
        <v>0.36890121159178102</v>
      </c>
      <c r="K37">
        <v>5</v>
      </c>
      <c r="L37">
        <v>1.5527950310559001E-2</v>
      </c>
      <c r="M37">
        <v>0.2</v>
      </c>
      <c r="N37">
        <v>0.21552795031055899</v>
      </c>
      <c r="O37">
        <f t="shared" si="0"/>
        <v>3.6375861597263857</v>
      </c>
      <c r="P37">
        <f t="shared" si="1"/>
        <v>1.6094379124341003</v>
      </c>
    </row>
    <row r="38" spans="1:16" x14ac:dyDescent="0.25">
      <c r="A38">
        <v>149</v>
      </c>
      <c r="B38">
        <v>9</v>
      </c>
      <c r="C38" t="s">
        <v>32</v>
      </c>
      <c r="D38" t="s">
        <v>49</v>
      </c>
      <c r="E38">
        <v>1</v>
      </c>
      <c r="F38">
        <v>6729</v>
      </c>
      <c r="G38">
        <v>1.48610491900728E-4</v>
      </c>
      <c r="H38">
        <v>3</v>
      </c>
      <c r="I38">
        <v>0.33333333333333298</v>
      </c>
      <c r="J38">
        <v>0.333481943825234</v>
      </c>
      <c r="O38">
        <f t="shared" si="0"/>
        <v>0</v>
      </c>
    </row>
    <row r="39" spans="1:16" x14ac:dyDescent="0.25">
      <c r="A39">
        <v>15</v>
      </c>
      <c r="B39">
        <v>114</v>
      </c>
      <c r="C39" t="s">
        <v>30</v>
      </c>
      <c r="D39" t="s">
        <v>58</v>
      </c>
      <c r="E39">
        <v>8</v>
      </c>
      <c r="F39">
        <v>4705</v>
      </c>
      <c r="G39">
        <v>1.7003188097768299E-3</v>
      </c>
      <c r="H39">
        <v>28</v>
      </c>
      <c r="I39">
        <v>0.28571428571428598</v>
      </c>
      <c r="J39">
        <v>0.28741460452406298</v>
      </c>
      <c r="K39">
        <v>4</v>
      </c>
      <c r="L39">
        <v>1.71159606332905E-3</v>
      </c>
      <c r="M39">
        <v>0.30769230769230799</v>
      </c>
      <c r="N39">
        <v>0.30940390375563698</v>
      </c>
      <c r="O39">
        <f t="shared" si="0"/>
        <v>2.0794415416798357</v>
      </c>
      <c r="P39">
        <f t="shared" si="1"/>
        <v>1.3862943611198906</v>
      </c>
    </row>
    <row r="40" spans="1:16" x14ac:dyDescent="0.25">
      <c r="A40">
        <v>48</v>
      </c>
      <c r="B40">
        <v>64</v>
      </c>
      <c r="C40" t="s">
        <v>20</v>
      </c>
      <c r="D40" t="s">
        <v>59</v>
      </c>
      <c r="E40">
        <v>71</v>
      </c>
      <c r="F40">
        <v>14583</v>
      </c>
      <c r="G40">
        <v>4.8686827127477203E-3</v>
      </c>
      <c r="H40">
        <v>258</v>
      </c>
      <c r="I40">
        <v>0.275193798449612</v>
      </c>
      <c r="J40">
        <v>0.28006248116235999</v>
      </c>
      <c r="K40">
        <v>25</v>
      </c>
      <c r="L40">
        <v>6.7385444743935296E-3</v>
      </c>
      <c r="M40">
        <v>0.28735632183908</v>
      </c>
      <c r="N40">
        <v>0.29409486631347398</v>
      </c>
      <c r="O40">
        <f t="shared" si="0"/>
        <v>4.2626798770413155</v>
      </c>
      <c r="P40">
        <f t="shared" si="1"/>
        <v>3.2188758248682006</v>
      </c>
    </row>
    <row r="41" spans="1:16" x14ac:dyDescent="0.25">
      <c r="A41">
        <v>158</v>
      </c>
      <c r="B41">
        <v>152</v>
      </c>
      <c r="C41" t="s">
        <v>34</v>
      </c>
      <c r="D41" t="s">
        <v>56</v>
      </c>
      <c r="E41">
        <v>60</v>
      </c>
      <c r="F41">
        <v>2458</v>
      </c>
      <c r="G41">
        <v>2.4410089503661501E-2</v>
      </c>
      <c r="H41">
        <v>244</v>
      </c>
      <c r="I41">
        <v>0.24590163934426201</v>
      </c>
      <c r="J41">
        <v>0.27031172884792398</v>
      </c>
      <c r="O41">
        <f t="shared" si="0"/>
        <v>4.0943445622221004</v>
      </c>
    </row>
    <row r="42" spans="1:16" x14ac:dyDescent="0.25">
      <c r="A42">
        <v>68</v>
      </c>
      <c r="B42">
        <v>65</v>
      </c>
      <c r="C42" t="s">
        <v>47</v>
      </c>
      <c r="D42" t="s">
        <v>59</v>
      </c>
      <c r="E42">
        <v>53</v>
      </c>
      <c r="F42">
        <v>1165</v>
      </c>
      <c r="G42">
        <v>4.5493562231759703E-2</v>
      </c>
      <c r="H42">
        <v>258</v>
      </c>
      <c r="I42">
        <v>0.20542635658914701</v>
      </c>
      <c r="J42">
        <v>0.25091991882090697</v>
      </c>
      <c r="K42">
        <v>19</v>
      </c>
      <c r="L42">
        <v>5.9006211180124203E-2</v>
      </c>
      <c r="M42">
        <v>0.21839080459770099</v>
      </c>
      <c r="N42">
        <v>0.277397015777825</v>
      </c>
      <c r="O42">
        <f t="shared" si="0"/>
        <v>3.970291913552122</v>
      </c>
      <c r="P42">
        <f t="shared" si="1"/>
        <v>2.9444389791664403</v>
      </c>
    </row>
    <row r="43" spans="1:16" x14ac:dyDescent="0.25">
      <c r="A43">
        <v>46</v>
      </c>
      <c r="B43">
        <v>120</v>
      </c>
      <c r="C43" t="s">
        <v>20</v>
      </c>
      <c r="D43" t="s">
        <v>29</v>
      </c>
      <c r="E43">
        <v>906</v>
      </c>
      <c r="F43">
        <v>14583</v>
      </c>
      <c r="G43">
        <v>6.2127134334499103E-2</v>
      </c>
      <c r="H43">
        <v>5305</v>
      </c>
      <c r="I43">
        <v>0.17078228086710701</v>
      </c>
      <c r="J43">
        <v>0.23290941520160599</v>
      </c>
      <c r="K43">
        <v>211</v>
      </c>
      <c r="L43">
        <v>5.6873315363881398E-2</v>
      </c>
      <c r="M43">
        <v>0.17957446808510599</v>
      </c>
      <c r="N43">
        <v>0.23644778344898801</v>
      </c>
      <c r="O43">
        <f t="shared" si="0"/>
        <v>6.8090393060429797</v>
      </c>
      <c r="P43">
        <f t="shared" si="1"/>
        <v>5.3518581334760666</v>
      </c>
    </row>
    <row r="44" spans="1:16" x14ac:dyDescent="0.25">
      <c r="A44">
        <v>95</v>
      </c>
      <c r="B44">
        <v>74</v>
      </c>
      <c r="C44" t="s">
        <v>41</v>
      </c>
      <c r="D44" t="s">
        <v>46</v>
      </c>
      <c r="E44">
        <v>32</v>
      </c>
      <c r="F44">
        <v>451</v>
      </c>
      <c r="G44">
        <v>7.0953436807095302E-2</v>
      </c>
      <c r="H44">
        <v>220</v>
      </c>
      <c r="I44">
        <v>0.145454545454545</v>
      </c>
      <c r="J44">
        <v>0.21640798226164101</v>
      </c>
      <c r="K44">
        <v>11</v>
      </c>
      <c r="L44">
        <v>6.7073170731707293E-2</v>
      </c>
      <c r="M44">
        <v>0.139240506329114</v>
      </c>
      <c r="N44">
        <v>0.20631367706082099</v>
      </c>
      <c r="O44">
        <f t="shared" si="0"/>
        <v>3.4657359027997265</v>
      </c>
      <c r="P44">
        <f t="shared" si="1"/>
        <v>2.3978952727983707</v>
      </c>
    </row>
    <row r="45" spans="1:16" x14ac:dyDescent="0.25">
      <c r="A45">
        <v>11</v>
      </c>
      <c r="B45">
        <v>66</v>
      </c>
      <c r="C45" t="s">
        <v>30</v>
      </c>
      <c r="D45" t="s">
        <v>59</v>
      </c>
      <c r="E45">
        <v>52</v>
      </c>
      <c r="F45">
        <v>4705</v>
      </c>
      <c r="G45">
        <v>1.1052072263549401E-2</v>
      </c>
      <c r="H45">
        <v>258</v>
      </c>
      <c r="I45">
        <v>0.201550387596899</v>
      </c>
      <c r="J45">
        <v>0.21260245986044901</v>
      </c>
      <c r="K45">
        <v>25</v>
      </c>
      <c r="L45">
        <v>1.0697475395806601E-2</v>
      </c>
      <c r="M45">
        <v>0.28735632183908</v>
      </c>
      <c r="N45">
        <v>0.29805379723488701</v>
      </c>
      <c r="O45">
        <f t="shared" si="0"/>
        <v>3.9512437185814275</v>
      </c>
      <c r="P45">
        <f t="shared" si="1"/>
        <v>3.2188758248682006</v>
      </c>
    </row>
    <row r="46" spans="1:16" x14ac:dyDescent="0.25">
      <c r="A46">
        <v>44</v>
      </c>
      <c r="B46">
        <v>78</v>
      </c>
      <c r="C46" t="s">
        <v>25</v>
      </c>
      <c r="D46" t="s">
        <v>46</v>
      </c>
      <c r="E46">
        <v>16</v>
      </c>
      <c r="F46">
        <v>121</v>
      </c>
      <c r="G46">
        <v>0.13223140495867799</v>
      </c>
      <c r="H46">
        <v>220</v>
      </c>
      <c r="I46">
        <v>7.2727272727272696E-2</v>
      </c>
      <c r="J46">
        <v>0.20495867768595</v>
      </c>
      <c r="K46">
        <v>8</v>
      </c>
      <c r="L46">
        <v>0.173913043478261</v>
      </c>
      <c r="M46">
        <v>0.10126582278481</v>
      </c>
      <c r="N46">
        <v>0.27517886626307098</v>
      </c>
      <c r="O46">
        <f t="shared" si="0"/>
        <v>2.7725887222397811</v>
      </c>
      <c r="P46">
        <f t="shared" si="1"/>
        <v>2.0794415416798357</v>
      </c>
    </row>
    <row r="47" spans="1:16" x14ac:dyDescent="0.25">
      <c r="A47">
        <v>135</v>
      </c>
      <c r="B47">
        <v>137</v>
      </c>
      <c r="C47" t="s">
        <v>29</v>
      </c>
      <c r="D47" t="s">
        <v>53</v>
      </c>
      <c r="E47">
        <v>2</v>
      </c>
      <c r="F47">
        <v>4655</v>
      </c>
      <c r="G47">
        <v>4.29645542427497E-4</v>
      </c>
      <c r="H47">
        <v>10</v>
      </c>
      <c r="I47">
        <v>0.2</v>
      </c>
      <c r="J47">
        <v>0.20042964554242801</v>
      </c>
      <c r="K47">
        <v>1</v>
      </c>
      <c r="L47">
        <v>9.8135426889107004E-4</v>
      </c>
      <c r="M47">
        <v>0.25</v>
      </c>
      <c r="N47">
        <v>0.25098135426889101</v>
      </c>
      <c r="O47">
        <f t="shared" si="0"/>
        <v>0.69314718055994529</v>
      </c>
      <c r="P47">
        <f t="shared" si="1"/>
        <v>0</v>
      </c>
    </row>
    <row r="48" spans="1:16" x14ac:dyDescent="0.25">
      <c r="A48">
        <v>62</v>
      </c>
      <c r="B48">
        <v>136</v>
      </c>
      <c r="C48" t="s">
        <v>20</v>
      </c>
      <c r="D48" t="s">
        <v>53</v>
      </c>
      <c r="E48">
        <v>2</v>
      </c>
      <c r="F48">
        <v>14583</v>
      </c>
      <c r="G48">
        <v>1.37145991908386E-4</v>
      </c>
      <c r="H48">
        <v>10</v>
      </c>
      <c r="I48">
        <v>0.2</v>
      </c>
      <c r="J48">
        <v>0.20013714599190799</v>
      </c>
      <c r="K48">
        <v>1</v>
      </c>
      <c r="L48">
        <v>2.6954177897574099E-4</v>
      </c>
      <c r="M48">
        <v>0.25</v>
      </c>
      <c r="N48">
        <v>0.25026954177897598</v>
      </c>
      <c r="O48">
        <f t="shared" si="0"/>
        <v>0.69314718055994529</v>
      </c>
      <c r="P48">
        <f t="shared" si="1"/>
        <v>0</v>
      </c>
    </row>
    <row r="49" spans="1:16" x14ac:dyDescent="0.25">
      <c r="A49">
        <v>14</v>
      </c>
      <c r="B49">
        <v>88</v>
      </c>
      <c r="C49" t="s">
        <v>30</v>
      </c>
      <c r="D49" t="s">
        <v>55</v>
      </c>
      <c r="E49">
        <v>8</v>
      </c>
      <c r="F49">
        <v>4705</v>
      </c>
      <c r="G49">
        <v>1.7003188097768299E-3</v>
      </c>
      <c r="H49">
        <v>41</v>
      </c>
      <c r="I49">
        <v>0.19512195121951201</v>
      </c>
      <c r="J49">
        <v>0.19682227002928901</v>
      </c>
      <c r="K49">
        <v>4</v>
      </c>
      <c r="L49">
        <v>1.71159606332905E-3</v>
      </c>
      <c r="M49">
        <v>0.266666666666667</v>
      </c>
      <c r="N49">
        <v>0.26837826272999599</v>
      </c>
      <c r="O49">
        <f t="shared" si="0"/>
        <v>2.0794415416798357</v>
      </c>
      <c r="P49">
        <f t="shared" si="1"/>
        <v>1.3862943611198906</v>
      </c>
    </row>
    <row r="50" spans="1:16" x14ac:dyDescent="0.25">
      <c r="A50">
        <v>82</v>
      </c>
      <c r="B50">
        <v>192</v>
      </c>
      <c r="C50" t="s">
        <v>46</v>
      </c>
      <c r="D50" t="s">
        <v>42</v>
      </c>
      <c r="E50">
        <v>23</v>
      </c>
      <c r="F50">
        <v>126</v>
      </c>
      <c r="G50">
        <v>0.182539682539683</v>
      </c>
      <c r="H50">
        <v>3128</v>
      </c>
      <c r="I50">
        <v>7.3529411764705899E-3</v>
      </c>
      <c r="J50">
        <v>0.18989262371615301</v>
      </c>
      <c r="K50">
        <v>8</v>
      </c>
      <c r="L50">
        <v>0.170212765957447</v>
      </c>
      <c r="M50">
        <v>1.75824175824176E-2</v>
      </c>
      <c r="N50">
        <v>0.18779518353986399</v>
      </c>
      <c r="O50">
        <f t="shared" si="0"/>
        <v>3.1354942159291497</v>
      </c>
      <c r="P50">
        <f t="shared" si="1"/>
        <v>2.0794415416798357</v>
      </c>
    </row>
    <row r="51" spans="1:16" x14ac:dyDescent="0.25">
      <c r="A51">
        <v>143</v>
      </c>
      <c r="B51">
        <v>2</v>
      </c>
      <c r="C51" t="s">
        <v>32</v>
      </c>
      <c r="D51" t="s">
        <v>52</v>
      </c>
      <c r="E51">
        <v>11</v>
      </c>
      <c r="F51">
        <v>6729</v>
      </c>
      <c r="G51">
        <v>1.63471541090801E-3</v>
      </c>
      <c r="H51">
        <v>62</v>
      </c>
      <c r="I51">
        <v>0.17741935483870999</v>
      </c>
      <c r="J51">
        <v>0.179054070249618</v>
      </c>
      <c r="O51">
        <f t="shared" si="0"/>
        <v>2.3978952727983707</v>
      </c>
    </row>
    <row r="52" spans="1:16" x14ac:dyDescent="0.25">
      <c r="A52">
        <v>51</v>
      </c>
      <c r="B52">
        <v>153</v>
      </c>
      <c r="C52" t="s">
        <v>20</v>
      </c>
      <c r="D52" t="s">
        <v>56</v>
      </c>
      <c r="E52">
        <v>42</v>
      </c>
      <c r="F52">
        <v>14583</v>
      </c>
      <c r="G52">
        <v>2.88006583007612E-3</v>
      </c>
      <c r="H52">
        <v>244</v>
      </c>
      <c r="I52">
        <v>0.17213114754098399</v>
      </c>
      <c r="J52">
        <v>0.17501121337105999</v>
      </c>
      <c r="K52">
        <v>16</v>
      </c>
      <c r="L52">
        <v>4.3126684636118602E-3</v>
      </c>
      <c r="M52">
        <v>0.188235294117647</v>
      </c>
      <c r="N52">
        <v>0.192547962581259</v>
      </c>
      <c r="O52">
        <f t="shared" si="0"/>
        <v>3.7376696182833684</v>
      </c>
      <c r="P52">
        <f t="shared" si="1"/>
        <v>2.7725887222397811</v>
      </c>
    </row>
    <row r="53" spans="1:16" x14ac:dyDescent="0.25">
      <c r="A53">
        <v>128</v>
      </c>
      <c r="B53">
        <v>110</v>
      </c>
      <c r="C53" t="s">
        <v>29</v>
      </c>
      <c r="D53" t="s">
        <v>51</v>
      </c>
      <c r="E53">
        <v>4</v>
      </c>
      <c r="F53">
        <v>4655</v>
      </c>
      <c r="G53">
        <v>8.5929108485499498E-4</v>
      </c>
      <c r="H53">
        <v>24</v>
      </c>
      <c r="I53">
        <v>0.16666666666666699</v>
      </c>
      <c r="J53">
        <v>0.16752595775152199</v>
      </c>
      <c r="K53">
        <v>1</v>
      </c>
      <c r="L53">
        <v>9.8135426889107004E-4</v>
      </c>
      <c r="M53">
        <v>0.125</v>
      </c>
      <c r="N53">
        <v>0.12598135426889101</v>
      </c>
      <c r="O53">
        <f t="shared" si="0"/>
        <v>1.3862943611198906</v>
      </c>
      <c r="P53">
        <f t="shared" si="1"/>
        <v>0</v>
      </c>
    </row>
    <row r="54" spans="1:16" x14ac:dyDescent="0.25">
      <c r="A54">
        <v>39</v>
      </c>
      <c r="B54">
        <v>126</v>
      </c>
      <c r="C54" t="s">
        <v>38</v>
      </c>
      <c r="D54" t="s">
        <v>29</v>
      </c>
      <c r="E54">
        <v>7</v>
      </c>
      <c r="F54">
        <v>45</v>
      </c>
      <c r="G54">
        <v>0.155555555555556</v>
      </c>
      <c r="H54">
        <v>5305</v>
      </c>
      <c r="I54">
        <v>1.3195098963242201E-3</v>
      </c>
      <c r="J54">
        <v>0.15687506545188001</v>
      </c>
      <c r="K54">
        <v>2</v>
      </c>
      <c r="L54">
        <v>0.125</v>
      </c>
      <c r="M54">
        <v>1.70212765957447E-3</v>
      </c>
      <c r="N54">
        <v>0.126702127659574</v>
      </c>
      <c r="O54">
        <f t="shared" si="0"/>
        <v>1.9459101490553132</v>
      </c>
      <c r="P54">
        <f t="shared" si="1"/>
        <v>0.69314718055994529</v>
      </c>
    </row>
    <row r="55" spans="1:16" x14ac:dyDescent="0.25">
      <c r="A55">
        <v>40</v>
      </c>
      <c r="B55">
        <v>71</v>
      </c>
      <c r="C55" t="s">
        <v>38</v>
      </c>
      <c r="D55" t="s">
        <v>59</v>
      </c>
      <c r="E55">
        <v>6</v>
      </c>
      <c r="F55">
        <v>45</v>
      </c>
      <c r="G55">
        <v>0.133333333333333</v>
      </c>
      <c r="H55">
        <v>258</v>
      </c>
      <c r="I55">
        <v>2.32558139534884E-2</v>
      </c>
      <c r="J55">
        <v>0.15658914728682199</v>
      </c>
      <c r="K55">
        <v>2</v>
      </c>
      <c r="L55">
        <v>0.125</v>
      </c>
      <c r="M55">
        <v>2.2988505747126398E-2</v>
      </c>
      <c r="N55">
        <v>0.14798850574712599</v>
      </c>
      <c r="O55">
        <f t="shared" si="0"/>
        <v>1.791759469228055</v>
      </c>
      <c r="P55">
        <f t="shared" si="1"/>
        <v>0.69314718055994529</v>
      </c>
    </row>
    <row r="56" spans="1:16" x14ac:dyDescent="0.25">
      <c r="A56">
        <v>73</v>
      </c>
      <c r="B56">
        <v>44</v>
      </c>
      <c r="C56" t="s">
        <v>47</v>
      </c>
      <c r="D56" t="s">
        <v>50</v>
      </c>
      <c r="E56">
        <v>6</v>
      </c>
      <c r="F56">
        <v>1165</v>
      </c>
      <c r="G56">
        <v>5.15021459227468E-3</v>
      </c>
      <c r="H56">
        <v>40</v>
      </c>
      <c r="I56">
        <v>0.15</v>
      </c>
      <c r="J56">
        <v>0.15515021459227499</v>
      </c>
      <c r="K56">
        <v>2</v>
      </c>
      <c r="L56">
        <v>6.2111801242236003E-3</v>
      </c>
      <c r="M56">
        <v>0.125</v>
      </c>
      <c r="N56">
        <v>0.131211180124224</v>
      </c>
      <c r="O56">
        <f t="shared" si="0"/>
        <v>1.791759469228055</v>
      </c>
      <c r="P56">
        <f t="shared" si="1"/>
        <v>0.69314718055994529</v>
      </c>
    </row>
    <row r="57" spans="1:16" x14ac:dyDescent="0.25">
      <c r="A57">
        <v>8</v>
      </c>
      <c r="B57">
        <v>140</v>
      </c>
      <c r="C57" t="s">
        <v>30</v>
      </c>
      <c r="D57" t="s">
        <v>35</v>
      </c>
      <c r="E57">
        <v>253</v>
      </c>
      <c r="F57">
        <v>4705</v>
      </c>
      <c r="G57">
        <v>5.37725823591923E-2</v>
      </c>
      <c r="H57">
        <v>2533</v>
      </c>
      <c r="I57">
        <v>9.9881563363600503E-2</v>
      </c>
      <c r="J57">
        <v>0.15365414572279301</v>
      </c>
      <c r="K57">
        <v>122</v>
      </c>
      <c r="L57">
        <v>5.2203679931536198E-2</v>
      </c>
      <c r="M57">
        <v>0.85915492957746498</v>
      </c>
      <c r="N57">
        <v>0.91135860950900105</v>
      </c>
      <c r="O57">
        <f t="shared" si="0"/>
        <v>5.5333894887275203</v>
      </c>
      <c r="P57">
        <f t="shared" si="1"/>
        <v>4.8040210447332568</v>
      </c>
    </row>
    <row r="58" spans="1:16" x14ac:dyDescent="0.25">
      <c r="A58">
        <v>27</v>
      </c>
      <c r="B58">
        <v>43</v>
      </c>
      <c r="C58" t="s">
        <v>23</v>
      </c>
      <c r="D58" t="s">
        <v>50</v>
      </c>
      <c r="E58">
        <v>6</v>
      </c>
      <c r="F58">
        <v>2358</v>
      </c>
      <c r="G58">
        <v>2.5445292620865098E-3</v>
      </c>
      <c r="H58">
        <v>40</v>
      </c>
      <c r="I58">
        <v>0.15</v>
      </c>
      <c r="J58">
        <v>0.152544529262087</v>
      </c>
      <c r="K58">
        <v>2</v>
      </c>
      <c r="L58">
        <v>3.26797385620915E-3</v>
      </c>
      <c r="M58">
        <v>0.125</v>
      </c>
      <c r="N58">
        <v>0.128267973856209</v>
      </c>
      <c r="O58">
        <f t="shared" si="0"/>
        <v>1.791759469228055</v>
      </c>
      <c r="P58">
        <f t="shared" si="1"/>
        <v>0.69314718055994529</v>
      </c>
    </row>
    <row r="59" spans="1:16" x14ac:dyDescent="0.25">
      <c r="A59">
        <v>74</v>
      </c>
      <c r="B59">
        <v>89</v>
      </c>
      <c r="C59" t="s">
        <v>47</v>
      </c>
      <c r="D59" t="s">
        <v>55</v>
      </c>
      <c r="E59">
        <v>6</v>
      </c>
      <c r="F59">
        <v>1165</v>
      </c>
      <c r="G59">
        <v>5.15021459227468E-3</v>
      </c>
      <c r="H59">
        <v>41</v>
      </c>
      <c r="I59">
        <v>0.146341463414634</v>
      </c>
      <c r="J59">
        <v>0.15149167800690899</v>
      </c>
      <c r="K59">
        <v>2</v>
      </c>
      <c r="L59">
        <v>6.2111801242236003E-3</v>
      </c>
      <c r="M59">
        <v>0.133333333333333</v>
      </c>
      <c r="N59">
        <v>0.139544513457557</v>
      </c>
      <c r="O59">
        <f t="shared" si="0"/>
        <v>1.791759469228055</v>
      </c>
      <c r="P59">
        <f t="shared" si="1"/>
        <v>0.69314718055994529</v>
      </c>
    </row>
    <row r="60" spans="1:16" x14ac:dyDescent="0.25">
      <c r="A60">
        <v>87</v>
      </c>
      <c r="B60">
        <v>111</v>
      </c>
      <c r="C60" t="s">
        <v>46</v>
      </c>
      <c r="D60" t="s">
        <v>51</v>
      </c>
      <c r="E60">
        <v>3</v>
      </c>
      <c r="F60">
        <v>126</v>
      </c>
      <c r="G60">
        <v>2.3809523809523801E-2</v>
      </c>
      <c r="H60">
        <v>24</v>
      </c>
      <c r="I60">
        <v>0.125</v>
      </c>
      <c r="J60">
        <v>0.148809523809524</v>
      </c>
      <c r="K60">
        <v>1</v>
      </c>
      <c r="L60">
        <v>2.1276595744680899E-2</v>
      </c>
      <c r="M60">
        <v>0.125</v>
      </c>
      <c r="N60">
        <v>0.14627659574468099</v>
      </c>
      <c r="O60">
        <f t="shared" si="0"/>
        <v>1.0986122886681098</v>
      </c>
      <c r="P60">
        <f t="shared" si="1"/>
        <v>0</v>
      </c>
    </row>
    <row r="61" spans="1:16" x14ac:dyDescent="0.25">
      <c r="A61">
        <v>41</v>
      </c>
      <c r="B61">
        <v>45</v>
      </c>
      <c r="C61" t="s">
        <v>38</v>
      </c>
      <c r="D61" t="s">
        <v>50</v>
      </c>
      <c r="E61">
        <v>3</v>
      </c>
      <c r="F61">
        <v>45</v>
      </c>
      <c r="G61">
        <v>6.6666666666666693E-2</v>
      </c>
      <c r="H61">
        <v>40</v>
      </c>
      <c r="I61">
        <v>7.4999999999999997E-2</v>
      </c>
      <c r="J61">
        <v>0.141666666666667</v>
      </c>
      <c r="K61">
        <v>1</v>
      </c>
      <c r="L61">
        <v>6.25E-2</v>
      </c>
      <c r="M61">
        <v>6.25E-2</v>
      </c>
      <c r="N61">
        <v>0.125</v>
      </c>
      <c r="O61">
        <f t="shared" si="0"/>
        <v>1.0986122886681098</v>
      </c>
      <c r="P61">
        <f t="shared" si="1"/>
        <v>0</v>
      </c>
    </row>
    <row r="62" spans="1:16" x14ac:dyDescent="0.25">
      <c r="A62">
        <v>157</v>
      </c>
      <c r="B62">
        <v>22</v>
      </c>
      <c r="C62" t="s">
        <v>34</v>
      </c>
      <c r="D62" t="s">
        <v>48</v>
      </c>
      <c r="E62">
        <v>70</v>
      </c>
      <c r="F62">
        <v>2458</v>
      </c>
      <c r="G62">
        <v>2.84784377542718E-2</v>
      </c>
      <c r="H62">
        <v>636</v>
      </c>
      <c r="I62">
        <v>0.110062893081761</v>
      </c>
      <c r="J62">
        <v>0.13854133083603301</v>
      </c>
      <c r="K62">
        <v>34</v>
      </c>
      <c r="L62">
        <v>0.390804597701149</v>
      </c>
      <c r="M62">
        <v>0.107936507936508</v>
      </c>
      <c r="N62">
        <v>0.498741105637657</v>
      </c>
      <c r="O62">
        <f t="shared" si="0"/>
        <v>4.2484952420493594</v>
      </c>
      <c r="P62">
        <f t="shared" si="1"/>
        <v>3.5263605246161616</v>
      </c>
    </row>
    <row r="63" spans="1:16" x14ac:dyDescent="0.25">
      <c r="A63">
        <v>170</v>
      </c>
      <c r="B63">
        <v>75</v>
      </c>
      <c r="C63" t="s">
        <v>39</v>
      </c>
      <c r="D63" t="s">
        <v>46</v>
      </c>
      <c r="E63">
        <v>21</v>
      </c>
      <c r="F63">
        <v>623</v>
      </c>
      <c r="G63">
        <v>3.3707865168539297E-2</v>
      </c>
      <c r="H63">
        <v>220</v>
      </c>
      <c r="I63">
        <v>9.54545454545455E-2</v>
      </c>
      <c r="J63">
        <v>0.12916241062308501</v>
      </c>
      <c r="K63">
        <v>7</v>
      </c>
      <c r="L63">
        <v>4.1916167664670698E-2</v>
      </c>
      <c r="M63">
        <v>8.8607594936708903E-2</v>
      </c>
      <c r="N63">
        <v>0.13052376260137999</v>
      </c>
      <c r="O63">
        <f t="shared" si="0"/>
        <v>3.044522437723423</v>
      </c>
      <c r="P63">
        <f t="shared" si="1"/>
        <v>1.9459101490553132</v>
      </c>
    </row>
    <row r="64" spans="1:16" x14ac:dyDescent="0.25">
      <c r="A64">
        <v>92</v>
      </c>
      <c r="B64">
        <v>5</v>
      </c>
      <c r="C64" t="s">
        <v>36</v>
      </c>
      <c r="D64" t="s">
        <v>52</v>
      </c>
      <c r="E64">
        <v>2</v>
      </c>
      <c r="F64">
        <v>23</v>
      </c>
      <c r="G64">
        <v>8.6956521739130405E-2</v>
      </c>
      <c r="H64">
        <v>62</v>
      </c>
      <c r="I64">
        <v>3.2258064516128997E-2</v>
      </c>
      <c r="J64">
        <v>0.11921458625525901</v>
      </c>
      <c r="K64">
        <v>1</v>
      </c>
      <c r="L64">
        <v>0.11111111111111099</v>
      </c>
      <c r="M64">
        <v>4.3478260869565202E-2</v>
      </c>
      <c r="N64">
        <v>0.15458937198067599</v>
      </c>
      <c r="O64">
        <f t="shared" si="0"/>
        <v>0.69314718055994529</v>
      </c>
      <c r="P64">
        <f t="shared" si="1"/>
        <v>0</v>
      </c>
    </row>
    <row r="65" spans="1:16" x14ac:dyDescent="0.25">
      <c r="A65">
        <v>121</v>
      </c>
      <c r="B65">
        <v>16</v>
      </c>
      <c r="C65" t="s">
        <v>29</v>
      </c>
      <c r="D65" t="s">
        <v>57</v>
      </c>
      <c r="E65">
        <v>13</v>
      </c>
      <c r="F65">
        <v>4655</v>
      </c>
      <c r="G65">
        <v>2.7926960257787302E-3</v>
      </c>
      <c r="H65">
        <v>113</v>
      </c>
      <c r="I65">
        <v>0.11504424778761101</v>
      </c>
      <c r="J65">
        <v>0.11783694381338899</v>
      </c>
      <c r="K65">
        <v>3</v>
      </c>
      <c r="L65">
        <v>2.9440628066732099E-3</v>
      </c>
      <c r="M65">
        <v>0.12</v>
      </c>
      <c r="N65">
        <v>0.122944062806673</v>
      </c>
      <c r="O65">
        <f t="shared" si="0"/>
        <v>2.5649493574615367</v>
      </c>
      <c r="P65">
        <f t="shared" si="1"/>
        <v>1.0986122886681098</v>
      </c>
    </row>
    <row r="66" spans="1:16" x14ac:dyDescent="0.25">
      <c r="A66">
        <v>176</v>
      </c>
      <c r="B66">
        <v>48</v>
      </c>
      <c r="C66" t="s">
        <v>39</v>
      </c>
      <c r="D66" t="s">
        <v>37</v>
      </c>
      <c r="E66">
        <v>3</v>
      </c>
      <c r="F66">
        <v>623</v>
      </c>
      <c r="G66">
        <v>4.8154093097913303E-3</v>
      </c>
      <c r="H66">
        <v>27</v>
      </c>
      <c r="I66">
        <v>0.11111111111111099</v>
      </c>
      <c r="J66">
        <v>0.115926520420902</v>
      </c>
      <c r="K66">
        <v>1</v>
      </c>
      <c r="L66">
        <v>5.9880239520958096E-3</v>
      </c>
      <c r="M66">
        <v>0.1</v>
      </c>
      <c r="N66">
        <v>0.105988023952096</v>
      </c>
      <c r="O66">
        <f t="shared" si="0"/>
        <v>1.0986122886681098</v>
      </c>
      <c r="P66">
        <f t="shared" si="1"/>
        <v>0</v>
      </c>
    </row>
    <row r="67" spans="1:16" x14ac:dyDescent="0.25">
      <c r="A67">
        <v>160</v>
      </c>
      <c r="B67">
        <v>67</v>
      </c>
      <c r="C67" t="s">
        <v>34</v>
      </c>
      <c r="D67" t="s">
        <v>59</v>
      </c>
      <c r="E67">
        <v>27</v>
      </c>
      <c r="F67">
        <v>2458</v>
      </c>
      <c r="G67">
        <v>1.0984540276647701E-2</v>
      </c>
      <c r="H67">
        <v>258</v>
      </c>
      <c r="I67">
        <v>0.104651162790698</v>
      </c>
      <c r="J67">
        <v>0.115635703067345</v>
      </c>
      <c r="K67">
        <v>1</v>
      </c>
      <c r="L67">
        <v>1.1494252873563199E-2</v>
      </c>
      <c r="M67">
        <v>1.1494252873563199E-2</v>
      </c>
      <c r="N67">
        <v>2.2988505747126398E-2</v>
      </c>
      <c r="O67">
        <f t="shared" ref="O67:O130" si="2">LN(E67)</f>
        <v>3.2958368660043291</v>
      </c>
      <c r="P67">
        <f t="shared" ref="P67:P130" si="3">LN(K67)</f>
        <v>0</v>
      </c>
    </row>
    <row r="68" spans="1:16" x14ac:dyDescent="0.25">
      <c r="A68">
        <v>130</v>
      </c>
      <c r="B68">
        <v>47</v>
      </c>
      <c r="C68" t="s">
        <v>29</v>
      </c>
      <c r="D68" t="s">
        <v>37</v>
      </c>
      <c r="E68">
        <v>3</v>
      </c>
      <c r="F68">
        <v>4655</v>
      </c>
      <c r="G68">
        <v>6.4446831364124604E-4</v>
      </c>
      <c r="H68">
        <v>27</v>
      </c>
      <c r="I68">
        <v>0.11111111111111099</v>
      </c>
      <c r="J68">
        <v>0.11175557942475201</v>
      </c>
      <c r="K68">
        <v>1</v>
      </c>
      <c r="L68">
        <v>9.8135426889107004E-4</v>
      </c>
      <c r="M68">
        <v>0.1</v>
      </c>
      <c r="N68">
        <v>0.100981354268891</v>
      </c>
      <c r="O68">
        <f t="shared" si="2"/>
        <v>1.0986122886681098</v>
      </c>
      <c r="P68">
        <f t="shared" si="3"/>
        <v>0</v>
      </c>
    </row>
    <row r="69" spans="1:16" x14ac:dyDescent="0.25">
      <c r="A69">
        <v>66</v>
      </c>
      <c r="B69">
        <v>36</v>
      </c>
      <c r="C69" t="s">
        <v>47</v>
      </c>
      <c r="D69" t="s">
        <v>24</v>
      </c>
      <c r="E69">
        <v>81</v>
      </c>
      <c r="F69">
        <v>1165</v>
      </c>
      <c r="G69">
        <v>6.9527896995708202E-2</v>
      </c>
      <c r="H69">
        <v>2287</v>
      </c>
      <c r="I69">
        <v>3.5417577612592899E-2</v>
      </c>
      <c r="J69">
        <v>0.104945474608301</v>
      </c>
      <c r="K69">
        <v>18</v>
      </c>
      <c r="L69">
        <v>5.5900621118012403E-2</v>
      </c>
      <c r="M69">
        <v>2.97520661157025E-2</v>
      </c>
      <c r="N69">
        <v>8.56526872337149E-2</v>
      </c>
      <c r="O69">
        <f t="shared" si="2"/>
        <v>4.3944491546724391</v>
      </c>
      <c r="P69">
        <f t="shared" si="3"/>
        <v>2.8903717578961645</v>
      </c>
    </row>
    <row r="70" spans="1:16" x14ac:dyDescent="0.25">
      <c r="A70">
        <v>129</v>
      </c>
      <c r="B70">
        <v>13</v>
      </c>
      <c r="C70" t="s">
        <v>29</v>
      </c>
      <c r="D70" t="s">
        <v>38</v>
      </c>
      <c r="E70">
        <v>3</v>
      </c>
      <c r="F70">
        <v>4655</v>
      </c>
      <c r="G70">
        <v>6.4446831364124604E-4</v>
      </c>
      <c r="H70">
        <v>31</v>
      </c>
      <c r="I70">
        <v>9.6774193548387094E-2</v>
      </c>
      <c r="J70">
        <v>9.74186618620283E-2</v>
      </c>
      <c r="K70">
        <v>1</v>
      </c>
      <c r="L70">
        <v>9.8135426889107004E-4</v>
      </c>
      <c r="M70">
        <v>9.0909090909090898E-2</v>
      </c>
      <c r="N70">
        <v>9.1890445177982005E-2</v>
      </c>
      <c r="O70">
        <f t="shared" si="2"/>
        <v>1.0986122886681098</v>
      </c>
      <c r="P70">
        <f t="shared" si="3"/>
        <v>0</v>
      </c>
    </row>
    <row r="71" spans="1:16" x14ac:dyDescent="0.25">
      <c r="A71">
        <v>37</v>
      </c>
      <c r="B71">
        <v>60</v>
      </c>
      <c r="C71" t="s">
        <v>54</v>
      </c>
      <c r="D71" t="s">
        <v>21</v>
      </c>
      <c r="E71">
        <v>3</v>
      </c>
      <c r="F71">
        <v>31</v>
      </c>
      <c r="G71">
        <v>9.6774193548387094E-2</v>
      </c>
      <c r="H71">
        <v>13644</v>
      </c>
      <c r="I71">
        <v>2.1987686895338601E-4</v>
      </c>
      <c r="J71">
        <v>9.6994070417340497E-2</v>
      </c>
      <c r="K71">
        <v>1</v>
      </c>
      <c r="L71">
        <v>0.125</v>
      </c>
      <c r="M71">
        <v>2.9154518950437301E-4</v>
      </c>
      <c r="N71">
        <v>0.125291545189504</v>
      </c>
      <c r="O71">
        <f t="shared" si="2"/>
        <v>1.0986122886681098</v>
      </c>
      <c r="P71">
        <f t="shared" si="3"/>
        <v>0</v>
      </c>
    </row>
    <row r="72" spans="1:16" x14ac:dyDescent="0.25">
      <c r="A72">
        <v>120</v>
      </c>
      <c r="B72">
        <v>51</v>
      </c>
      <c r="C72" t="s">
        <v>29</v>
      </c>
      <c r="D72" t="s">
        <v>21</v>
      </c>
      <c r="E72">
        <v>309</v>
      </c>
      <c r="F72">
        <v>4655</v>
      </c>
      <c r="G72">
        <v>6.6380236305048301E-2</v>
      </c>
      <c r="H72">
        <v>13644</v>
      </c>
      <c r="I72">
        <v>2.26473175021988E-2</v>
      </c>
      <c r="J72">
        <v>8.9027553807247098E-2</v>
      </c>
      <c r="K72">
        <v>69</v>
      </c>
      <c r="L72">
        <v>6.7713444553483798E-2</v>
      </c>
      <c r="M72">
        <v>2.0116618075801701E-2</v>
      </c>
      <c r="N72">
        <v>8.7830062629285596E-2</v>
      </c>
      <c r="O72">
        <f t="shared" si="2"/>
        <v>5.7333412768977459</v>
      </c>
      <c r="P72">
        <f t="shared" si="3"/>
        <v>4.2341065045972597</v>
      </c>
    </row>
    <row r="73" spans="1:16" x14ac:dyDescent="0.25">
      <c r="A73">
        <v>61</v>
      </c>
      <c r="B73">
        <v>112</v>
      </c>
      <c r="C73" t="s">
        <v>20</v>
      </c>
      <c r="D73" t="s">
        <v>51</v>
      </c>
      <c r="E73">
        <v>2</v>
      </c>
      <c r="F73">
        <v>14583</v>
      </c>
      <c r="G73">
        <v>1.37145991908386E-4</v>
      </c>
      <c r="H73">
        <v>24</v>
      </c>
      <c r="I73">
        <v>8.3333333333333301E-2</v>
      </c>
      <c r="J73">
        <v>8.3470479325241695E-2</v>
      </c>
      <c r="K73">
        <v>1</v>
      </c>
      <c r="L73">
        <v>2.6954177897574099E-4</v>
      </c>
      <c r="M73">
        <v>0.125</v>
      </c>
      <c r="N73">
        <v>0.12526954177897601</v>
      </c>
      <c r="O73">
        <f t="shared" si="2"/>
        <v>0.69314718055994529</v>
      </c>
      <c r="P73">
        <f t="shared" si="3"/>
        <v>0</v>
      </c>
    </row>
    <row r="74" spans="1:16" x14ac:dyDescent="0.25">
      <c r="A74">
        <v>23</v>
      </c>
      <c r="B74">
        <v>68</v>
      </c>
      <c r="C74" t="s">
        <v>23</v>
      </c>
      <c r="D74" t="s">
        <v>59</v>
      </c>
      <c r="E74">
        <v>19</v>
      </c>
      <c r="F74">
        <v>2358</v>
      </c>
      <c r="G74">
        <v>8.05767599660729E-3</v>
      </c>
      <c r="H74">
        <v>258</v>
      </c>
      <c r="I74">
        <v>7.3643410852713198E-2</v>
      </c>
      <c r="J74">
        <v>8.1701086849320495E-2</v>
      </c>
      <c r="K74">
        <v>5</v>
      </c>
      <c r="L74">
        <v>8.1699346405228798E-3</v>
      </c>
      <c r="M74">
        <v>5.7471264367816098E-2</v>
      </c>
      <c r="N74">
        <v>6.5641199008338993E-2</v>
      </c>
      <c r="O74">
        <f t="shared" si="2"/>
        <v>2.9444389791664403</v>
      </c>
      <c r="P74">
        <f t="shared" si="3"/>
        <v>1.6094379124341003</v>
      </c>
    </row>
    <row r="75" spans="1:16" x14ac:dyDescent="0.25">
      <c r="A75">
        <v>156</v>
      </c>
      <c r="B75">
        <v>28</v>
      </c>
      <c r="C75" t="s">
        <v>34</v>
      </c>
      <c r="D75" t="s">
        <v>31</v>
      </c>
      <c r="E75">
        <v>123</v>
      </c>
      <c r="F75">
        <v>2458</v>
      </c>
      <c r="G75">
        <v>5.00406834825061E-2</v>
      </c>
      <c r="H75">
        <v>3924</v>
      </c>
      <c r="I75">
        <v>3.1345565749235499E-2</v>
      </c>
      <c r="J75">
        <v>8.1386249231741606E-2</v>
      </c>
      <c r="K75">
        <v>34</v>
      </c>
      <c r="L75">
        <v>0.390804597701149</v>
      </c>
      <c r="M75">
        <v>1.7689906347554601E-2</v>
      </c>
      <c r="N75">
        <v>0.40849450404870402</v>
      </c>
      <c r="O75">
        <f t="shared" si="2"/>
        <v>4.8121843553724171</v>
      </c>
      <c r="P75">
        <f t="shared" si="3"/>
        <v>3.5263605246161616</v>
      </c>
    </row>
    <row r="76" spans="1:16" x14ac:dyDescent="0.25">
      <c r="A76">
        <v>54</v>
      </c>
      <c r="B76">
        <v>76</v>
      </c>
      <c r="C76" t="s">
        <v>20</v>
      </c>
      <c r="D76" t="s">
        <v>46</v>
      </c>
      <c r="E76">
        <v>17</v>
      </c>
      <c r="F76">
        <v>14583</v>
      </c>
      <c r="G76">
        <v>1.1657409312212899E-3</v>
      </c>
      <c r="H76">
        <v>220</v>
      </c>
      <c r="I76">
        <v>7.7272727272727298E-2</v>
      </c>
      <c r="J76">
        <v>7.8438468203948494E-2</v>
      </c>
      <c r="K76">
        <v>6</v>
      </c>
      <c r="L76">
        <v>1.6172506738544501E-3</v>
      </c>
      <c r="M76">
        <v>7.5949367088607597E-2</v>
      </c>
      <c r="N76">
        <v>7.7566617762462001E-2</v>
      </c>
      <c r="O76">
        <f t="shared" si="2"/>
        <v>2.8332133440562162</v>
      </c>
      <c r="P76">
        <f t="shared" si="3"/>
        <v>1.791759469228055</v>
      </c>
    </row>
    <row r="77" spans="1:16" x14ac:dyDescent="0.25">
      <c r="A77">
        <v>49</v>
      </c>
      <c r="B77">
        <v>23</v>
      </c>
      <c r="C77" t="s">
        <v>20</v>
      </c>
      <c r="D77" t="s">
        <v>48</v>
      </c>
      <c r="E77">
        <v>46</v>
      </c>
      <c r="F77">
        <v>14583</v>
      </c>
      <c r="G77">
        <v>3.1543578138928901E-3</v>
      </c>
      <c r="H77">
        <v>636</v>
      </c>
      <c r="I77">
        <v>7.2327044025157203E-2</v>
      </c>
      <c r="J77">
        <v>7.5481401839050097E-2</v>
      </c>
      <c r="K77">
        <v>23</v>
      </c>
      <c r="L77">
        <v>6.1994609164420502E-3</v>
      </c>
      <c r="M77">
        <v>7.3015873015873006E-2</v>
      </c>
      <c r="N77">
        <v>7.9215333932315099E-2</v>
      </c>
      <c r="O77">
        <f t="shared" si="2"/>
        <v>3.8286413964890951</v>
      </c>
      <c r="P77">
        <f t="shared" si="3"/>
        <v>3.1354942159291497</v>
      </c>
    </row>
    <row r="78" spans="1:16" x14ac:dyDescent="0.25">
      <c r="A78">
        <v>97</v>
      </c>
      <c r="B78">
        <v>164</v>
      </c>
      <c r="C78" t="s">
        <v>41</v>
      </c>
      <c r="D78" t="s">
        <v>28</v>
      </c>
      <c r="E78">
        <v>19</v>
      </c>
      <c r="F78">
        <v>451</v>
      </c>
      <c r="G78">
        <v>4.2128603104212903E-2</v>
      </c>
      <c r="H78">
        <v>586</v>
      </c>
      <c r="I78">
        <v>3.2423208191126297E-2</v>
      </c>
      <c r="J78">
        <v>7.4551811295339096E-2</v>
      </c>
      <c r="K78">
        <v>7</v>
      </c>
      <c r="L78">
        <v>4.2682926829268303E-2</v>
      </c>
      <c r="M78">
        <v>3.03030303030303E-2</v>
      </c>
      <c r="N78">
        <v>7.2985957132298607E-2</v>
      </c>
      <c r="O78">
        <f t="shared" si="2"/>
        <v>2.9444389791664403</v>
      </c>
      <c r="P78">
        <f t="shared" si="3"/>
        <v>1.9459101490553132</v>
      </c>
    </row>
    <row r="79" spans="1:16" x14ac:dyDescent="0.25">
      <c r="A79">
        <v>30</v>
      </c>
      <c r="B79">
        <v>90</v>
      </c>
      <c r="C79" t="s">
        <v>23</v>
      </c>
      <c r="D79" t="s">
        <v>55</v>
      </c>
      <c r="E79">
        <v>3</v>
      </c>
      <c r="F79">
        <v>2358</v>
      </c>
      <c r="G79">
        <v>1.2722646310432599E-3</v>
      </c>
      <c r="H79">
        <v>41</v>
      </c>
      <c r="I79">
        <v>7.3170731707317097E-2</v>
      </c>
      <c r="J79">
        <v>7.4442996338360296E-2</v>
      </c>
      <c r="K79">
        <v>1</v>
      </c>
      <c r="L79">
        <v>1.63398692810458E-3</v>
      </c>
      <c r="M79">
        <v>6.6666666666666693E-2</v>
      </c>
      <c r="N79">
        <v>6.8300653594771193E-2</v>
      </c>
      <c r="O79">
        <f t="shared" si="2"/>
        <v>1.0986122886681098</v>
      </c>
      <c r="P79">
        <f t="shared" si="3"/>
        <v>0</v>
      </c>
    </row>
    <row r="80" spans="1:16" x14ac:dyDescent="0.25">
      <c r="A80">
        <v>78</v>
      </c>
      <c r="B80">
        <v>116</v>
      </c>
      <c r="C80" t="s">
        <v>47</v>
      </c>
      <c r="D80" t="s">
        <v>58</v>
      </c>
      <c r="E80">
        <v>2</v>
      </c>
      <c r="F80">
        <v>1165</v>
      </c>
      <c r="G80">
        <v>1.71673819742489E-3</v>
      </c>
      <c r="H80">
        <v>28</v>
      </c>
      <c r="I80">
        <v>7.1428571428571397E-2</v>
      </c>
      <c r="J80">
        <v>7.3145309625996302E-2</v>
      </c>
      <c r="K80">
        <v>1</v>
      </c>
      <c r="L80">
        <v>3.1055900621118002E-3</v>
      </c>
      <c r="M80">
        <v>7.69230769230769E-2</v>
      </c>
      <c r="N80">
        <v>8.0028666985188707E-2</v>
      </c>
      <c r="O80">
        <f t="shared" si="2"/>
        <v>0.69314718055994529</v>
      </c>
      <c r="P80">
        <f t="shared" si="3"/>
        <v>0</v>
      </c>
    </row>
    <row r="81" spans="1:16" x14ac:dyDescent="0.25">
      <c r="A81">
        <v>115</v>
      </c>
      <c r="B81">
        <v>117</v>
      </c>
      <c r="C81" t="s">
        <v>22</v>
      </c>
      <c r="D81" t="s">
        <v>58</v>
      </c>
      <c r="E81">
        <v>2</v>
      </c>
      <c r="F81">
        <v>1218</v>
      </c>
      <c r="G81">
        <v>1.64203612479475E-3</v>
      </c>
      <c r="H81">
        <v>28</v>
      </c>
      <c r="I81">
        <v>7.1428571428571397E-2</v>
      </c>
      <c r="J81">
        <v>7.3070607553366196E-2</v>
      </c>
      <c r="K81">
        <v>1</v>
      </c>
      <c r="L81">
        <v>2.3041474654377902E-3</v>
      </c>
      <c r="M81">
        <v>7.69230769230769E-2</v>
      </c>
      <c r="N81">
        <v>7.9227224388514705E-2</v>
      </c>
      <c r="O81">
        <f t="shared" si="2"/>
        <v>0.69314718055994529</v>
      </c>
      <c r="P81">
        <f t="shared" si="3"/>
        <v>0</v>
      </c>
    </row>
    <row r="82" spans="1:16" x14ac:dyDescent="0.25">
      <c r="A82">
        <v>33</v>
      </c>
      <c r="B82">
        <v>115</v>
      </c>
      <c r="C82" t="s">
        <v>23</v>
      </c>
      <c r="D82" t="s">
        <v>58</v>
      </c>
      <c r="E82">
        <v>2</v>
      </c>
      <c r="F82">
        <v>2358</v>
      </c>
      <c r="G82">
        <v>8.4817642069550498E-4</v>
      </c>
      <c r="H82">
        <v>28</v>
      </c>
      <c r="I82">
        <v>7.1428571428571397E-2</v>
      </c>
      <c r="J82">
        <v>7.2276747849266895E-2</v>
      </c>
      <c r="K82">
        <v>1</v>
      </c>
      <c r="L82">
        <v>1.63398692810458E-3</v>
      </c>
      <c r="M82">
        <v>7.69230769230769E-2</v>
      </c>
      <c r="N82">
        <v>7.8557063851181497E-2</v>
      </c>
      <c r="O82">
        <f t="shared" si="2"/>
        <v>0.69314718055994529</v>
      </c>
      <c r="P82">
        <f t="shared" si="3"/>
        <v>0</v>
      </c>
    </row>
    <row r="83" spans="1:16" x14ac:dyDescent="0.25">
      <c r="A83">
        <v>167</v>
      </c>
      <c r="B83">
        <v>118</v>
      </c>
      <c r="C83" t="s">
        <v>34</v>
      </c>
      <c r="D83" t="s">
        <v>58</v>
      </c>
      <c r="E83">
        <v>2</v>
      </c>
      <c r="F83">
        <v>2458</v>
      </c>
      <c r="G83">
        <v>8.1366965012204999E-4</v>
      </c>
      <c r="H83">
        <v>28</v>
      </c>
      <c r="I83">
        <v>7.1428571428571397E-2</v>
      </c>
      <c r="J83">
        <v>7.2242241078693495E-2</v>
      </c>
      <c r="O83">
        <f t="shared" si="2"/>
        <v>0.69314718055994529</v>
      </c>
    </row>
    <row r="84" spans="1:16" x14ac:dyDescent="0.25">
      <c r="A84">
        <v>154</v>
      </c>
      <c r="B84">
        <v>62</v>
      </c>
      <c r="C84" t="s">
        <v>16</v>
      </c>
      <c r="D84" t="s">
        <v>21</v>
      </c>
      <c r="E84">
        <v>2</v>
      </c>
      <c r="F84">
        <v>29</v>
      </c>
      <c r="G84">
        <v>6.8965517241379296E-2</v>
      </c>
      <c r="H84">
        <v>13644</v>
      </c>
      <c r="I84">
        <v>1.4658457930225699E-4</v>
      </c>
      <c r="J84">
        <v>6.9112101820681601E-2</v>
      </c>
      <c r="K84">
        <v>1</v>
      </c>
      <c r="L84">
        <v>7.69230769230769E-2</v>
      </c>
      <c r="M84">
        <v>2.9154518950437301E-4</v>
      </c>
      <c r="N84">
        <v>7.7214622112581302E-2</v>
      </c>
      <c r="O84">
        <f t="shared" si="2"/>
        <v>0.69314718055994529</v>
      </c>
      <c r="P84">
        <f t="shared" si="3"/>
        <v>0</v>
      </c>
    </row>
    <row r="85" spans="1:16" x14ac:dyDescent="0.25">
      <c r="A85">
        <v>109</v>
      </c>
      <c r="B85">
        <v>69</v>
      </c>
      <c r="C85" t="s">
        <v>22</v>
      </c>
      <c r="D85" t="s">
        <v>59</v>
      </c>
      <c r="E85">
        <v>14</v>
      </c>
      <c r="F85">
        <v>1218</v>
      </c>
      <c r="G85">
        <v>1.1494252873563199E-2</v>
      </c>
      <c r="H85">
        <v>258</v>
      </c>
      <c r="I85">
        <v>5.4263565891472902E-2</v>
      </c>
      <c r="J85">
        <v>6.57578187650361E-2</v>
      </c>
      <c r="K85">
        <v>4</v>
      </c>
      <c r="L85">
        <v>9.2165898617511503E-3</v>
      </c>
      <c r="M85">
        <v>4.5977011494252901E-2</v>
      </c>
      <c r="N85">
        <v>5.5193601356003999E-2</v>
      </c>
      <c r="O85">
        <f t="shared" si="2"/>
        <v>2.6390573296152584</v>
      </c>
      <c r="P85">
        <f t="shared" si="3"/>
        <v>1.3862943611198906</v>
      </c>
    </row>
    <row r="86" spans="1:16" x14ac:dyDescent="0.25">
      <c r="A86">
        <v>18</v>
      </c>
      <c r="B86">
        <v>3</v>
      </c>
      <c r="C86" t="s">
        <v>30</v>
      </c>
      <c r="D86" t="s">
        <v>52</v>
      </c>
      <c r="E86">
        <v>4</v>
      </c>
      <c r="F86">
        <v>4705</v>
      </c>
      <c r="G86">
        <v>8.5015940488841703E-4</v>
      </c>
      <c r="H86">
        <v>62</v>
      </c>
      <c r="I86">
        <v>6.4516129032258104E-2</v>
      </c>
      <c r="J86">
        <v>6.5366288437146494E-2</v>
      </c>
      <c r="K86">
        <v>2</v>
      </c>
      <c r="L86">
        <v>8.5579803166452697E-4</v>
      </c>
      <c r="M86">
        <v>8.6956521739130405E-2</v>
      </c>
      <c r="N86">
        <v>8.7812319770794997E-2</v>
      </c>
      <c r="O86">
        <f t="shared" si="2"/>
        <v>1.3862943611198906</v>
      </c>
      <c r="P86">
        <f t="shared" si="3"/>
        <v>0.69314718055994529</v>
      </c>
    </row>
    <row r="87" spans="1:16" x14ac:dyDescent="0.25">
      <c r="A87">
        <v>171</v>
      </c>
      <c r="B87">
        <v>165</v>
      </c>
      <c r="C87" t="s">
        <v>39</v>
      </c>
      <c r="D87" t="s">
        <v>28</v>
      </c>
      <c r="E87">
        <v>19</v>
      </c>
      <c r="F87">
        <v>623</v>
      </c>
      <c r="G87">
        <v>3.04975922953451E-2</v>
      </c>
      <c r="H87">
        <v>586</v>
      </c>
      <c r="I87">
        <v>3.2423208191126297E-2</v>
      </c>
      <c r="J87">
        <v>6.2920800486471404E-2</v>
      </c>
      <c r="K87">
        <v>1</v>
      </c>
      <c r="L87">
        <v>5.9880239520958096E-3</v>
      </c>
      <c r="M87">
        <v>4.3290043290043299E-3</v>
      </c>
      <c r="N87">
        <v>1.03170282811001E-2</v>
      </c>
      <c r="O87">
        <f t="shared" si="2"/>
        <v>2.9444389791664403</v>
      </c>
      <c r="P87">
        <f t="shared" si="3"/>
        <v>0</v>
      </c>
    </row>
    <row r="88" spans="1:16" x14ac:dyDescent="0.25">
      <c r="A88">
        <v>67</v>
      </c>
      <c r="B88">
        <v>121</v>
      </c>
      <c r="C88" t="s">
        <v>47</v>
      </c>
      <c r="D88" t="s">
        <v>29</v>
      </c>
      <c r="E88">
        <v>60</v>
      </c>
      <c r="F88">
        <v>1165</v>
      </c>
      <c r="G88">
        <v>5.1502145922746802E-2</v>
      </c>
      <c r="H88">
        <v>5305</v>
      </c>
      <c r="I88">
        <v>1.13100848256362E-2</v>
      </c>
      <c r="J88">
        <v>6.2812230748383005E-2</v>
      </c>
      <c r="K88">
        <v>18</v>
      </c>
      <c r="L88">
        <v>5.5900621118012403E-2</v>
      </c>
      <c r="M88">
        <v>1.53191489361702E-2</v>
      </c>
      <c r="N88">
        <v>7.1219770054182605E-2</v>
      </c>
      <c r="O88">
        <f t="shared" si="2"/>
        <v>4.0943445622221004</v>
      </c>
      <c r="P88">
        <f t="shared" si="3"/>
        <v>2.8903717578961645</v>
      </c>
    </row>
    <row r="89" spans="1:16" x14ac:dyDescent="0.25">
      <c r="A89">
        <v>69</v>
      </c>
      <c r="B89">
        <v>142</v>
      </c>
      <c r="C89" t="s">
        <v>47</v>
      </c>
      <c r="D89" t="s">
        <v>35</v>
      </c>
      <c r="E89">
        <v>49</v>
      </c>
      <c r="F89">
        <v>1165</v>
      </c>
      <c r="G89">
        <v>4.20600858369099E-2</v>
      </c>
      <c r="H89">
        <v>2533</v>
      </c>
      <c r="I89">
        <v>1.9344650611922601E-2</v>
      </c>
      <c r="J89">
        <v>6.14047364488325E-2</v>
      </c>
      <c r="K89">
        <v>5</v>
      </c>
      <c r="L89">
        <v>1.5527950310559001E-2</v>
      </c>
      <c r="M89">
        <v>3.5211267605633798E-2</v>
      </c>
      <c r="N89">
        <v>5.0739217916192798E-2</v>
      </c>
      <c r="O89">
        <f t="shared" si="2"/>
        <v>3.8918202981106265</v>
      </c>
      <c r="P89">
        <f t="shared" si="3"/>
        <v>1.6094379124341003</v>
      </c>
    </row>
    <row r="90" spans="1:16" x14ac:dyDescent="0.25">
      <c r="A90">
        <v>72</v>
      </c>
      <c r="B90">
        <v>79</v>
      </c>
      <c r="C90" t="s">
        <v>47</v>
      </c>
      <c r="D90" t="s">
        <v>46</v>
      </c>
      <c r="E90">
        <v>10</v>
      </c>
      <c r="F90">
        <v>1165</v>
      </c>
      <c r="G90">
        <v>8.58369098712446E-3</v>
      </c>
      <c r="H90">
        <v>220</v>
      </c>
      <c r="I90">
        <v>4.5454545454545497E-2</v>
      </c>
      <c r="J90">
        <v>5.4038236441669898E-2</v>
      </c>
      <c r="K90">
        <v>3</v>
      </c>
      <c r="L90">
        <v>9.3167701863354005E-3</v>
      </c>
      <c r="M90">
        <v>3.7974683544303799E-2</v>
      </c>
      <c r="N90">
        <v>4.7291453730639199E-2</v>
      </c>
      <c r="O90">
        <f t="shared" si="2"/>
        <v>2.3025850929940459</v>
      </c>
      <c r="P90">
        <f t="shared" si="3"/>
        <v>1.0986122886681098</v>
      </c>
    </row>
    <row r="91" spans="1:16" x14ac:dyDescent="0.25">
      <c r="A91">
        <v>110</v>
      </c>
      <c r="B91">
        <v>80</v>
      </c>
      <c r="C91" t="s">
        <v>22</v>
      </c>
      <c r="D91" t="s">
        <v>46</v>
      </c>
      <c r="E91">
        <v>10</v>
      </c>
      <c r="F91">
        <v>1218</v>
      </c>
      <c r="G91">
        <v>8.2101806239737295E-3</v>
      </c>
      <c r="H91">
        <v>220</v>
      </c>
      <c r="I91">
        <v>4.5454545454545497E-2</v>
      </c>
      <c r="J91">
        <v>5.3664726078519201E-2</v>
      </c>
      <c r="K91">
        <v>5</v>
      </c>
      <c r="L91">
        <v>1.1520737327188901E-2</v>
      </c>
      <c r="M91">
        <v>6.3291139240506306E-2</v>
      </c>
      <c r="N91">
        <v>7.4811876567695307E-2</v>
      </c>
      <c r="O91">
        <f t="shared" si="2"/>
        <v>2.3025850929940459</v>
      </c>
      <c r="P91">
        <f t="shared" si="3"/>
        <v>1.6094379124341003</v>
      </c>
    </row>
    <row r="92" spans="1:16" x14ac:dyDescent="0.25">
      <c r="A92">
        <v>122</v>
      </c>
      <c r="B92">
        <v>70</v>
      </c>
      <c r="C92" t="s">
        <v>29</v>
      </c>
      <c r="D92" t="s">
        <v>59</v>
      </c>
      <c r="E92">
        <v>13</v>
      </c>
      <c r="F92">
        <v>4655</v>
      </c>
      <c r="G92">
        <v>2.7926960257787302E-3</v>
      </c>
      <c r="H92">
        <v>258</v>
      </c>
      <c r="I92">
        <v>5.0387596899224799E-2</v>
      </c>
      <c r="J92">
        <v>5.3180292925003501E-2</v>
      </c>
      <c r="K92">
        <v>5</v>
      </c>
      <c r="L92">
        <v>4.9067713444553504E-3</v>
      </c>
      <c r="M92">
        <v>5.7471264367816098E-2</v>
      </c>
      <c r="N92">
        <v>6.23780357122714E-2</v>
      </c>
      <c r="O92">
        <f t="shared" si="2"/>
        <v>2.5649493574615367</v>
      </c>
      <c r="P92">
        <f t="shared" si="3"/>
        <v>1.6094379124341003</v>
      </c>
    </row>
    <row r="93" spans="1:16" x14ac:dyDescent="0.25">
      <c r="A93">
        <v>64</v>
      </c>
      <c r="B93">
        <v>162</v>
      </c>
      <c r="C93" t="s">
        <v>20</v>
      </c>
      <c r="D93" t="s">
        <v>45</v>
      </c>
      <c r="E93">
        <v>1</v>
      </c>
      <c r="F93">
        <v>14583</v>
      </c>
      <c r="G93" s="1">
        <v>6.8572995954193202E-5</v>
      </c>
      <c r="H93">
        <v>19</v>
      </c>
      <c r="I93">
        <v>5.2631578947368397E-2</v>
      </c>
      <c r="J93">
        <v>5.2700151943322601E-2</v>
      </c>
      <c r="K93">
        <v>1</v>
      </c>
      <c r="L93">
        <v>2.6954177897574099E-4</v>
      </c>
      <c r="M93">
        <v>0.125</v>
      </c>
      <c r="N93">
        <v>0.12526954177897601</v>
      </c>
      <c r="O93">
        <f t="shared" si="2"/>
        <v>0</v>
      </c>
      <c r="P93">
        <f t="shared" si="3"/>
        <v>0</v>
      </c>
    </row>
    <row r="94" spans="1:16" x14ac:dyDescent="0.25">
      <c r="A94">
        <v>21</v>
      </c>
      <c r="B94">
        <v>141</v>
      </c>
      <c r="C94" t="s">
        <v>23</v>
      </c>
      <c r="D94" t="s">
        <v>35</v>
      </c>
      <c r="E94">
        <v>62</v>
      </c>
      <c r="F94">
        <v>2358</v>
      </c>
      <c r="G94">
        <v>2.6293469041560599E-2</v>
      </c>
      <c r="H94">
        <v>2533</v>
      </c>
      <c r="I94">
        <v>2.44769048559021E-2</v>
      </c>
      <c r="J94">
        <v>5.0770373897462702E-2</v>
      </c>
      <c r="K94">
        <v>3</v>
      </c>
      <c r="L94">
        <v>4.9019607843137298E-3</v>
      </c>
      <c r="M94">
        <v>2.1126760563380299E-2</v>
      </c>
      <c r="N94">
        <v>2.6028721347694E-2</v>
      </c>
      <c r="O94">
        <f t="shared" si="2"/>
        <v>4.1271343850450917</v>
      </c>
      <c r="P94">
        <f t="shared" si="3"/>
        <v>1.0986122886681098</v>
      </c>
    </row>
    <row r="95" spans="1:16" x14ac:dyDescent="0.25">
      <c r="A95">
        <v>89</v>
      </c>
      <c r="B95">
        <v>4</v>
      </c>
      <c r="C95" t="s">
        <v>46</v>
      </c>
      <c r="D95" t="s">
        <v>52</v>
      </c>
      <c r="E95">
        <v>2</v>
      </c>
      <c r="F95">
        <v>126</v>
      </c>
      <c r="G95">
        <v>1.58730158730159E-2</v>
      </c>
      <c r="H95">
        <v>62</v>
      </c>
      <c r="I95">
        <v>3.2258064516128997E-2</v>
      </c>
      <c r="J95">
        <v>4.8131080389144897E-2</v>
      </c>
      <c r="K95">
        <v>1</v>
      </c>
      <c r="L95">
        <v>2.1276595744680899E-2</v>
      </c>
      <c r="M95">
        <v>4.3478260869565202E-2</v>
      </c>
      <c r="N95">
        <v>6.4754856614246098E-2</v>
      </c>
      <c r="O95">
        <f t="shared" si="2"/>
        <v>0.69314718055994529</v>
      </c>
      <c r="P95">
        <f t="shared" si="3"/>
        <v>0</v>
      </c>
    </row>
    <row r="96" spans="1:16" x14ac:dyDescent="0.25">
      <c r="A96">
        <v>83</v>
      </c>
      <c r="B96">
        <v>57</v>
      </c>
      <c r="C96" t="s">
        <v>46</v>
      </c>
      <c r="D96" t="s">
        <v>21</v>
      </c>
      <c r="E96">
        <v>6</v>
      </c>
      <c r="F96">
        <v>126</v>
      </c>
      <c r="G96">
        <v>4.7619047619047603E-2</v>
      </c>
      <c r="H96">
        <v>13644</v>
      </c>
      <c r="I96">
        <v>4.3975373790677201E-4</v>
      </c>
      <c r="J96">
        <v>4.8058801356954402E-2</v>
      </c>
      <c r="K96">
        <v>2</v>
      </c>
      <c r="L96">
        <v>4.2553191489361701E-2</v>
      </c>
      <c r="M96">
        <v>5.8309037900874602E-4</v>
      </c>
      <c r="N96">
        <v>4.3136281868370499E-2</v>
      </c>
      <c r="O96">
        <f t="shared" si="2"/>
        <v>1.791759469228055</v>
      </c>
      <c r="P96">
        <f t="shared" si="3"/>
        <v>0.69314718055994529</v>
      </c>
    </row>
    <row r="97" spans="1:16" x14ac:dyDescent="0.25">
      <c r="A97">
        <v>104</v>
      </c>
      <c r="B97">
        <v>133</v>
      </c>
      <c r="C97" t="s">
        <v>41</v>
      </c>
      <c r="D97" t="s">
        <v>43</v>
      </c>
      <c r="E97">
        <v>2</v>
      </c>
      <c r="F97">
        <v>451</v>
      </c>
      <c r="G97">
        <v>4.4345898004434598E-3</v>
      </c>
      <c r="H97">
        <v>50</v>
      </c>
      <c r="I97">
        <v>0.04</v>
      </c>
      <c r="J97">
        <v>4.44345898004435E-2</v>
      </c>
      <c r="K97">
        <v>1</v>
      </c>
      <c r="L97">
        <v>6.0975609756097598E-3</v>
      </c>
      <c r="M97">
        <v>4.1666666666666699E-2</v>
      </c>
      <c r="N97">
        <v>4.7764227642276398E-2</v>
      </c>
      <c r="O97">
        <f t="shared" si="2"/>
        <v>0.69314718055994529</v>
      </c>
      <c r="P97">
        <f t="shared" si="3"/>
        <v>0</v>
      </c>
    </row>
    <row r="98" spans="1:16" x14ac:dyDescent="0.25">
      <c r="A98">
        <v>93</v>
      </c>
      <c r="B98">
        <v>108</v>
      </c>
      <c r="C98" t="s">
        <v>36</v>
      </c>
      <c r="D98" t="s">
        <v>22</v>
      </c>
      <c r="E98">
        <v>1</v>
      </c>
      <c r="F98">
        <v>23</v>
      </c>
      <c r="G98">
        <v>4.3478260869565202E-2</v>
      </c>
      <c r="H98">
        <v>1139</v>
      </c>
      <c r="I98">
        <v>8.7796312554872696E-4</v>
      </c>
      <c r="J98">
        <v>4.4356223995113901E-2</v>
      </c>
      <c r="O98">
        <f t="shared" si="2"/>
        <v>0</v>
      </c>
    </row>
    <row r="99" spans="1:16" x14ac:dyDescent="0.25">
      <c r="A99">
        <v>96</v>
      </c>
      <c r="B99">
        <v>52</v>
      </c>
      <c r="C99" t="s">
        <v>41</v>
      </c>
      <c r="D99" t="s">
        <v>21</v>
      </c>
      <c r="E99">
        <v>19</v>
      </c>
      <c r="F99">
        <v>451</v>
      </c>
      <c r="G99">
        <v>4.2128603104212903E-2</v>
      </c>
      <c r="H99">
        <v>13644</v>
      </c>
      <c r="I99">
        <v>1.3925535033714499E-3</v>
      </c>
      <c r="J99">
        <v>4.3521156607584301E-2</v>
      </c>
      <c r="K99">
        <v>7</v>
      </c>
      <c r="L99">
        <v>4.2682926829268303E-2</v>
      </c>
      <c r="M99">
        <v>2.0408163265306098E-3</v>
      </c>
      <c r="N99">
        <v>4.4723743155798898E-2</v>
      </c>
      <c r="O99">
        <f t="shared" si="2"/>
        <v>2.9444389791664403</v>
      </c>
      <c r="P99">
        <f t="shared" si="3"/>
        <v>1.9459101490553132</v>
      </c>
    </row>
    <row r="100" spans="1:16" x14ac:dyDescent="0.25">
      <c r="A100">
        <v>150</v>
      </c>
      <c r="B100">
        <v>11</v>
      </c>
      <c r="C100" t="s">
        <v>32</v>
      </c>
      <c r="D100" t="s">
        <v>15</v>
      </c>
      <c r="E100">
        <v>1</v>
      </c>
      <c r="F100">
        <v>6729</v>
      </c>
      <c r="G100">
        <v>1.48610491900728E-4</v>
      </c>
      <c r="H100">
        <v>25</v>
      </c>
      <c r="I100">
        <v>0.04</v>
      </c>
      <c r="J100">
        <v>4.0148610491900702E-2</v>
      </c>
      <c r="O100">
        <f t="shared" si="2"/>
        <v>0</v>
      </c>
    </row>
    <row r="101" spans="1:16" x14ac:dyDescent="0.25">
      <c r="A101">
        <v>13</v>
      </c>
      <c r="B101">
        <v>81</v>
      </c>
      <c r="C101" t="s">
        <v>30</v>
      </c>
      <c r="D101" t="s">
        <v>46</v>
      </c>
      <c r="E101">
        <v>8</v>
      </c>
      <c r="F101">
        <v>4705</v>
      </c>
      <c r="G101">
        <v>1.7003188097768299E-3</v>
      </c>
      <c r="H101">
        <v>220</v>
      </c>
      <c r="I101">
        <v>3.6363636363636397E-2</v>
      </c>
      <c r="J101">
        <v>3.8063955173413197E-2</v>
      </c>
      <c r="K101">
        <v>4</v>
      </c>
      <c r="L101">
        <v>1.71159606332905E-3</v>
      </c>
      <c r="M101">
        <v>5.0632911392405097E-2</v>
      </c>
      <c r="N101">
        <v>5.2344507455734102E-2</v>
      </c>
      <c r="O101">
        <f t="shared" si="2"/>
        <v>2.0794415416798357</v>
      </c>
      <c r="P101">
        <f t="shared" si="3"/>
        <v>1.3862943611198906</v>
      </c>
    </row>
    <row r="102" spans="1:16" x14ac:dyDescent="0.25">
      <c r="A102">
        <v>100</v>
      </c>
      <c r="B102">
        <v>24</v>
      </c>
      <c r="C102" t="s">
        <v>41</v>
      </c>
      <c r="D102" t="s">
        <v>48</v>
      </c>
      <c r="E102">
        <v>10</v>
      </c>
      <c r="F102">
        <v>451</v>
      </c>
      <c r="G102">
        <v>2.21729490022173E-2</v>
      </c>
      <c r="H102">
        <v>636</v>
      </c>
      <c r="I102">
        <v>1.57232704402516E-2</v>
      </c>
      <c r="J102">
        <v>3.7896219442468897E-2</v>
      </c>
      <c r="K102">
        <v>5</v>
      </c>
      <c r="L102">
        <v>3.0487804878048801E-2</v>
      </c>
      <c r="M102">
        <v>1.58730158730159E-2</v>
      </c>
      <c r="N102">
        <v>4.6360820751064701E-2</v>
      </c>
      <c r="O102">
        <f t="shared" si="2"/>
        <v>2.3025850929940459</v>
      </c>
      <c r="P102">
        <f t="shared" si="3"/>
        <v>1.6094379124341003</v>
      </c>
    </row>
    <row r="103" spans="1:16" x14ac:dyDescent="0.25">
      <c r="A103">
        <v>117</v>
      </c>
      <c r="B103">
        <v>49</v>
      </c>
      <c r="C103" t="s">
        <v>22</v>
      </c>
      <c r="D103" t="s">
        <v>37</v>
      </c>
      <c r="E103">
        <v>1</v>
      </c>
      <c r="F103">
        <v>1218</v>
      </c>
      <c r="G103">
        <v>8.2101806239737304E-4</v>
      </c>
      <c r="H103">
        <v>27</v>
      </c>
      <c r="I103">
        <v>3.7037037037037E-2</v>
      </c>
      <c r="J103">
        <v>3.78580550994344E-2</v>
      </c>
      <c r="O103">
        <f t="shared" si="2"/>
        <v>0</v>
      </c>
    </row>
    <row r="104" spans="1:16" x14ac:dyDescent="0.25">
      <c r="A104">
        <v>186</v>
      </c>
      <c r="B104">
        <v>82</v>
      </c>
      <c r="C104" t="s">
        <v>27</v>
      </c>
      <c r="D104" t="s">
        <v>46</v>
      </c>
      <c r="E104">
        <v>6</v>
      </c>
      <c r="F104">
        <v>614</v>
      </c>
      <c r="G104">
        <v>9.77198697068404E-3</v>
      </c>
      <c r="H104">
        <v>220</v>
      </c>
      <c r="I104">
        <v>2.7272727272727299E-2</v>
      </c>
      <c r="J104">
        <v>3.7044714243411297E-2</v>
      </c>
      <c r="K104">
        <v>2</v>
      </c>
      <c r="L104">
        <v>7.8740157480314994E-3</v>
      </c>
      <c r="M104">
        <v>2.53164556962025E-2</v>
      </c>
      <c r="N104">
        <v>3.3190471444234003E-2</v>
      </c>
      <c r="O104">
        <f t="shared" si="2"/>
        <v>1.791759469228055</v>
      </c>
      <c r="P104">
        <f t="shared" si="3"/>
        <v>0.69314718055994529</v>
      </c>
    </row>
    <row r="105" spans="1:16" x14ac:dyDescent="0.25">
      <c r="A105">
        <v>106</v>
      </c>
      <c r="B105">
        <v>191</v>
      </c>
      <c r="C105" t="s">
        <v>22</v>
      </c>
      <c r="D105" t="s">
        <v>42</v>
      </c>
      <c r="E105">
        <v>32</v>
      </c>
      <c r="F105">
        <v>1218</v>
      </c>
      <c r="G105">
        <v>2.6272577996715899E-2</v>
      </c>
      <c r="H105">
        <v>3128</v>
      </c>
      <c r="I105">
        <v>1.0230179028133E-2</v>
      </c>
      <c r="J105">
        <v>3.6502757024848898E-2</v>
      </c>
      <c r="K105">
        <v>10</v>
      </c>
      <c r="L105">
        <v>2.3041474654377898E-2</v>
      </c>
      <c r="M105">
        <v>2.1978021978022001E-2</v>
      </c>
      <c r="N105">
        <v>4.5019496632399902E-2</v>
      </c>
      <c r="O105">
        <f t="shared" si="2"/>
        <v>3.4657359027997265</v>
      </c>
      <c r="P105">
        <f t="shared" si="3"/>
        <v>2.3025850929940459</v>
      </c>
    </row>
    <row r="106" spans="1:16" x14ac:dyDescent="0.25">
      <c r="A106">
        <v>59</v>
      </c>
      <c r="B106">
        <v>17</v>
      </c>
      <c r="C106" t="s">
        <v>20</v>
      </c>
      <c r="D106" t="s">
        <v>57</v>
      </c>
      <c r="E106">
        <v>4</v>
      </c>
      <c r="F106">
        <v>14583</v>
      </c>
      <c r="G106">
        <v>2.7429198381677302E-4</v>
      </c>
      <c r="H106">
        <v>113</v>
      </c>
      <c r="I106">
        <v>3.5398230088495602E-2</v>
      </c>
      <c r="J106">
        <v>3.56725220723123E-2</v>
      </c>
      <c r="K106">
        <v>2</v>
      </c>
      <c r="L106">
        <v>5.3908355795148296E-4</v>
      </c>
      <c r="M106">
        <v>0.08</v>
      </c>
      <c r="N106">
        <v>8.0539083557951502E-2</v>
      </c>
      <c r="O106">
        <f t="shared" si="2"/>
        <v>1.3862943611198906</v>
      </c>
      <c r="P106">
        <f t="shared" si="3"/>
        <v>0.69314718055994529</v>
      </c>
    </row>
    <row r="107" spans="1:16" x14ac:dyDescent="0.25">
      <c r="A107">
        <v>159</v>
      </c>
      <c r="B107">
        <v>189</v>
      </c>
      <c r="C107" t="s">
        <v>34</v>
      </c>
      <c r="D107" t="s">
        <v>42</v>
      </c>
      <c r="E107">
        <v>49</v>
      </c>
      <c r="F107">
        <v>2458</v>
      </c>
      <c r="G107">
        <v>1.9934906427990201E-2</v>
      </c>
      <c r="H107">
        <v>3128</v>
      </c>
      <c r="I107">
        <v>1.5664961636828598E-2</v>
      </c>
      <c r="J107">
        <v>3.55998680648189E-2</v>
      </c>
      <c r="K107">
        <v>4</v>
      </c>
      <c r="L107">
        <v>4.5977011494252901E-2</v>
      </c>
      <c r="M107">
        <v>8.7912087912087895E-3</v>
      </c>
      <c r="N107">
        <v>5.4768220285461702E-2</v>
      </c>
      <c r="O107">
        <f t="shared" si="2"/>
        <v>3.8918202981106265</v>
      </c>
      <c r="P107">
        <f t="shared" si="3"/>
        <v>1.3862943611198906</v>
      </c>
    </row>
    <row r="108" spans="1:16" x14ac:dyDescent="0.25">
      <c r="A108">
        <v>178</v>
      </c>
      <c r="B108">
        <v>7</v>
      </c>
      <c r="C108" t="s">
        <v>39</v>
      </c>
      <c r="D108" t="s">
        <v>52</v>
      </c>
      <c r="E108">
        <v>2</v>
      </c>
      <c r="F108">
        <v>623</v>
      </c>
      <c r="G108">
        <v>3.2102728731942202E-3</v>
      </c>
      <c r="H108">
        <v>62</v>
      </c>
      <c r="I108">
        <v>3.2258064516128997E-2</v>
      </c>
      <c r="J108">
        <v>3.5468337389323201E-2</v>
      </c>
      <c r="K108">
        <v>1</v>
      </c>
      <c r="L108">
        <v>5.9880239520958096E-3</v>
      </c>
      <c r="M108">
        <v>4.3478260869565202E-2</v>
      </c>
      <c r="N108">
        <v>4.9466284821661002E-2</v>
      </c>
      <c r="O108">
        <f t="shared" si="2"/>
        <v>0.69314718055994529</v>
      </c>
      <c r="P108">
        <f t="shared" si="3"/>
        <v>0</v>
      </c>
    </row>
    <row r="109" spans="1:16" x14ac:dyDescent="0.25">
      <c r="A109">
        <v>85</v>
      </c>
      <c r="B109">
        <v>72</v>
      </c>
      <c r="C109" t="s">
        <v>46</v>
      </c>
      <c r="D109" t="s">
        <v>59</v>
      </c>
      <c r="E109">
        <v>3</v>
      </c>
      <c r="F109">
        <v>126</v>
      </c>
      <c r="G109">
        <v>2.3809523809523801E-2</v>
      </c>
      <c r="H109">
        <v>258</v>
      </c>
      <c r="I109">
        <v>1.16279069767442E-2</v>
      </c>
      <c r="J109">
        <v>3.5437430786268001E-2</v>
      </c>
      <c r="K109">
        <v>1</v>
      </c>
      <c r="L109">
        <v>2.1276595744680899E-2</v>
      </c>
      <c r="M109">
        <v>1.1494252873563199E-2</v>
      </c>
      <c r="N109">
        <v>3.27708486182441E-2</v>
      </c>
      <c r="O109">
        <f t="shared" si="2"/>
        <v>1.0986122886681098</v>
      </c>
      <c r="P109">
        <f t="shared" si="3"/>
        <v>0</v>
      </c>
    </row>
    <row r="110" spans="1:16" x14ac:dyDescent="0.25">
      <c r="A110">
        <v>47</v>
      </c>
      <c r="B110">
        <v>29</v>
      </c>
      <c r="C110" t="s">
        <v>20</v>
      </c>
      <c r="D110" t="s">
        <v>31</v>
      </c>
      <c r="E110">
        <v>105</v>
      </c>
      <c r="F110">
        <v>14583</v>
      </c>
      <c r="G110">
        <v>7.2001645751902897E-3</v>
      </c>
      <c r="H110">
        <v>3924</v>
      </c>
      <c r="I110">
        <v>2.6758409785932701E-2</v>
      </c>
      <c r="J110">
        <v>3.3958574361122998E-2</v>
      </c>
      <c r="K110">
        <v>52</v>
      </c>
      <c r="L110">
        <v>1.40161725067385E-2</v>
      </c>
      <c r="M110">
        <v>2.70551508844953E-2</v>
      </c>
      <c r="N110">
        <v>4.1071323391233899E-2</v>
      </c>
      <c r="O110">
        <f t="shared" si="2"/>
        <v>4.6539603501575231</v>
      </c>
      <c r="P110">
        <f t="shared" si="3"/>
        <v>3.9512437185814275</v>
      </c>
    </row>
    <row r="111" spans="1:16" x14ac:dyDescent="0.25">
      <c r="A111">
        <v>133</v>
      </c>
      <c r="B111">
        <v>6</v>
      </c>
      <c r="C111" t="s">
        <v>29</v>
      </c>
      <c r="D111" t="s">
        <v>52</v>
      </c>
      <c r="E111">
        <v>2</v>
      </c>
      <c r="F111">
        <v>4655</v>
      </c>
      <c r="G111">
        <v>4.29645542427497E-4</v>
      </c>
      <c r="H111">
        <v>62</v>
      </c>
      <c r="I111">
        <v>3.2258064516128997E-2</v>
      </c>
      <c r="J111">
        <v>3.2687710058556502E-2</v>
      </c>
      <c r="K111">
        <v>1</v>
      </c>
      <c r="L111">
        <v>9.8135426889107004E-4</v>
      </c>
      <c r="M111">
        <v>4.3478260869565202E-2</v>
      </c>
      <c r="N111">
        <v>4.4459615138456303E-2</v>
      </c>
      <c r="O111">
        <f t="shared" si="2"/>
        <v>0.69314718055994529</v>
      </c>
      <c r="P111">
        <f t="shared" si="3"/>
        <v>0</v>
      </c>
    </row>
    <row r="112" spans="1:16" x14ac:dyDescent="0.25">
      <c r="A112">
        <v>84</v>
      </c>
      <c r="B112">
        <v>175</v>
      </c>
      <c r="C112" t="s">
        <v>46</v>
      </c>
      <c r="D112" t="s">
        <v>33</v>
      </c>
      <c r="E112">
        <v>4</v>
      </c>
      <c r="F112">
        <v>126</v>
      </c>
      <c r="G112">
        <v>3.1746031746031703E-2</v>
      </c>
      <c r="H112">
        <v>4779</v>
      </c>
      <c r="I112">
        <v>8.3699518727767296E-4</v>
      </c>
      <c r="J112">
        <v>3.2583026933309403E-2</v>
      </c>
      <c r="K112">
        <v>2</v>
      </c>
      <c r="L112">
        <v>4.2553191489361701E-2</v>
      </c>
      <c r="M112">
        <v>3.3444816053511701E-3</v>
      </c>
      <c r="N112">
        <v>4.5897673094712897E-2</v>
      </c>
      <c r="O112">
        <f t="shared" si="2"/>
        <v>1.3862943611198906</v>
      </c>
      <c r="P112">
        <f t="shared" si="3"/>
        <v>0.69314718055994529</v>
      </c>
    </row>
    <row r="113" spans="1:16" x14ac:dyDescent="0.25">
      <c r="A113">
        <v>111</v>
      </c>
      <c r="B113">
        <v>158</v>
      </c>
      <c r="C113" t="s">
        <v>22</v>
      </c>
      <c r="D113" t="s">
        <v>19</v>
      </c>
      <c r="E113">
        <v>6</v>
      </c>
      <c r="F113">
        <v>1218</v>
      </c>
      <c r="G113">
        <v>4.92610837438424E-3</v>
      </c>
      <c r="H113">
        <v>228</v>
      </c>
      <c r="I113">
        <v>2.6315789473684199E-2</v>
      </c>
      <c r="J113">
        <v>3.1241897848068401E-2</v>
      </c>
      <c r="K113">
        <v>2</v>
      </c>
      <c r="L113">
        <v>4.6082949308755804E-3</v>
      </c>
      <c r="M113">
        <v>2.32558139534884E-2</v>
      </c>
      <c r="N113">
        <v>2.78641088843639E-2</v>
      </c>
      <c r="O113">
        <f t="shared" si="2"/>
        <v>1.791759469228055</v>
      </c>
      <c r="P113">
        <f t="shared" si="3"/>
        <v>0.69314718055994529</v>
      </c>
    </row>
    <row r="114" spans="1:16" x14ac:dyDescent="0.25">
      <c r="A114">
        <v>22</v>
      </c>
      <c r="B114">
        <v>190</v>
      </c>
      <c r="C114" t="s">
        <v>23</v>
      </c>
      <c r="D114" t="s">
        <v>42</v>
      </c>
      <c r="E114">
        <v>42</v>
      </c>
      <c r="F114">
        <v>2358</v>
      </c>
      <c r="G114">
        <v>1.7811704834605601E-2</v>
      </c>
      <c r="H114">
        <v>3128</v>
      </c>
      <c r="I114">
        <v>1.34271099744246E-2</v>
      </c>
      <c r="J114">
        <v>3.1238814809030201E-2</v>
      </c>
      <c r="K114">
        <v>8</v>
      </c>
      <c r="L114">
        <v>1.30718954248366E-2</v>
      </c>
      <c r="M114">
        <v>1.75824175824176E-2</v>
      </c>
      <c r="N114">
        <v>3.06543130072542E-2</v>
      </c>
      <c r="O114">
        <f t="shared" si="2"/>
        <v>3.7376696182833684</v>
      </c>
      <c r="P114">
        <f t="shared" si="3"/>
        <v>2.0794415416798357</v>
      </c>
    </row>
    <row r="115" spans="1:16" x14ac:dyDescent="0.25">
      <c r="A115">
        <v>71</v>
      </c>
      <c r="B115">
        <v>172</v>
      </c>
      <c r="C115" t="s">
        <v>47</v>
      </c>
      <c r="D115" t="s">
        <v>33</v>
      </c>
      <c r="E115">
        <v>29</v>
      </c>
      <c r="F115">
        <v>1165</v>
      </c>
      <c r="G115">
        <v>2.48927038626609E-2</v>
      </c>
      <c r="H115">
        <v>4779</v>
      </c>
      <c r="I115">
        <v>6.0682151077631301E-3</v>
      </c>
      <c r="J115">
        <v>3.0960918970424099E-2</v>
      </c>
      <c r="K115">
        <v>7</v>
      </c>
      <c r="L115">
        <v>2.1739130434782601E-2</v>
      </c>
      <c r="M115">
        <v>1.17056856187291E-2</v>
      </c>
      <c r="N115">
        <v>3.3444816053511697E-2</v>
      </c>
      <c r="O115">
        <f t="shared" si="2"/>
        <v>3.3672958299864741</v>
      </c>
      <c r="P115">
        <f t="shared" si="3"/>
        <v>1.9459101490553132</v>
      </c>
    </row>
    <row r="116" spans="1:16" x14ac:dyDescent="0.25">
      <c r="A116">
        <v>99</v>
      </c>
      <c r="B116">
        <v>194</v>
      </c>
      <c r="C116" t="s">
        <v>41</v>
      </c>
      <c r="D116" t="s">
        <v>42</v>
      </c>
      <c r="E116">
        <v>12</v>
      </c>
      <c r="F116">
        <v>451</v>
      </c>
      <c r="G116">
        <v>2.6607538802660799E-2</v>
      </c>
      <c r="H116">
        <v>3128</v>
      </c>
      <c r="I116">
        <v>3.8363171355498701E-3</v>
      </c>
      <c r="J116">
        <v>3.0443855938210598E-2</v>
      </c>
      <c r="K116">
        <v>4</v>
      </c>
      <c r="L116">
        <v>2.4390243902439001E-2</v>
      </c>
      <c r="M116">
        <v>8.7912087912087895E-3</v>
      </c>
      <c r="N116">
        <v>3.3181452693647799E-2</v>
      </c>
      <c r="O116">
        <f t="shared" si="2"/>
        <v>2.4849066497880004</v>
      </c>
      <c r="P116">
        <f t="shared" si="3"/>
        <v>1.3862943611198906</v>
      </c>
    </row>
    <row r="117" spans="1:16" x14ac:dyDescent="0.25">
      <c r="A117">
        <v>98</v>
      </c>
      <c r="B117">
        <v>30</v>
      </c>
      <c r="C117" t="s">
        <v>41</v>
      </c>
      <c r="D117" t="s">
        <v>31</v>
      </c>
      <c r="E117">
        <v>12</v>
      </c>
      <c r="F117">
        <v>451</v>
      </c>
      <c r="G117">
        <v>2.6607538802660799E-2</v>
      </c>
      <c r="H117">
        <v>3924</v>
      </c>
      <c r="I117">
        <v>3.05810397553517E-3</v>
      </c>
      <c r="J117">
        <v>2.9665642778195899E-2</v>
      </c>
      <c r="K117">
        <v>6</v>
      </c>
      <c r="L117">
        <v>3.65853658536585E-2</v>
      </c>
      <c r="M117">
        <v>3.1217481789802301E-3</v>
      </c>
      <c r="N117">
        <v>3.9707114032638803E-2</v>
      </c>
      <c r="O117">
        <f t="shared" si="2"/>
        <v>2.4849066497880004</v>
      </c>
      <c r="P117">
        <f t="shared" si="3"/>
        <v>1.791759469228055</v>
      </c>
    </row>
    <row r="118" spans="1:16" x14ac:dyDescent="0.25">
      <c r="A118">
        <v>113</v>
      </c>
      <c r="B118">
        <v>18</v>
      </c>
      <c r="C118" t="s">
        <v>22</v>
      </c>
      <c r="D118" t="s">
        <v>57</v>
      </c>
      <c r="E118">
        <v>3</v>
      </c>
      <c r="F118">
        <v>1218</v>
      </c>
      <c r="G118">
        <v>2.46305418719212E-3</v>
      </c>
      <c r="H118">
        <v>113</v>
      </c>
      <c r="I118">
        <v>2.6548672566371698E-2</v>
      </c>
      <c r="J118">
        <v>2.90117267535638E-2</v>
      </c>
      <c r="K118">
        <v>1</v>
      </c>
      <c r="L118">
        <v>2.3041474654377902E-3</v>
      </c>
      <c r="M118">
        <v>0.04</v>
      </c>
      <c r="N118">
        <v>4.23041474654378E-2</v>
      </c>
      <c r="O118">
        <f t="shared" si="2"/>
        <v>1.0986122886681098</v>
      </c>
      <c r="P118">
        <f t="shared" si="3"/>
        <v>0</v>
      </c>
    </row>
    <row r="119" spans="1:16" x14ac:dyDescent="0.25">
      <c r="A119">
        <v>10</v>
      </c>
      <c r="B119">
        <v>188</v>
      </c>
      <c r="C119" t="s">
        <v>30</v>
      </c>
      <c r="D119" t="s">
        <v>42</v>
      </c>
      <c r="E119">
        <v>54</v>
      </c>
      <c r="F119">
        <v>4705</v>
      </c>
      <c r="G119">
        <v>1.1477151965993601E-2</v>
      </c>
      <c r="H119">
        <v>3128</v>
      </c>
      <c r="I119">
        <v>1.7263427109974399E-2</v>
      </c>
      <c r="J119">
        <v>2.8740579075968001E-2</v>
      </c>
      <c r="K119">
        <v>27</v>
      </c>
      <c r="L119">
        <v>1.15532734274711E-2</v>
      </c>
      <c r="M119">
        <v>5.9340659340659303E-2</v>
      </c>
      <c r="N119">
        <v>7.0893932768130496E-2</v>
      </c>
      <c r="O119">
        <f t="shared" si="2"/>
        <v>3.9889840465642745</v>
      </c>
      <c r="P119">
        <f t="shared" si="3"/>
        <v>3.2958368660043291</v>
      </c>
    </row>
    <row r="120" spans="1:16" x14ac:dyDescent="0.25">
      <c r="A120">
        <v>86</v>
      </c>
      <c r="B120">
        <v>93</v>
      </c>
      <c r="C120" t="s">
        <v>46</v>
      </c>
      <c r="D120" t="s">
        <v>40</v>
      </c>
      <c r="E120">
        <v>3</v>
      </c>
      <c r="F120">
        <v>126</v>
      </c>
      <c r="G120">
        <v>2.3809523809523801E-2</v>
      </c>
      <c r="H120">
        <v>879</v>
      </c>
      <c r="I120">
        <v>3.4129692832764501E-3</v>
      </c>
      <c r="J120">
        <v>2.7222493092800299E-2</v>
      </c>
      <c r="K120">
        <v>1</v>
      </c>
      <c r="L120">
        <v>2.1276595744680899E-2</v>
      </c>
      <c r="M120">
        <v>3.7174721189591098E-3</v>
      </c>
      <c r="N120">
        <v>2.4994067863640002E-2</v>
      </c>
      <c r="O120">
        <f t="shared" si="2"/>
        <v>1.0986122886681098</v>
      </c>
      <c r="P120">
        <f t="shared" si="3"/>
        <v>0</v>
      </c>
    </row>
    <row r="121" spans="1:16" x14ac:dyDescent="0.25">
      <c r="A121">
        <v>42</v>
      </c>
      <c r="B121">
        <v>159</v>
      </c>
      <c r="C121" t="s">
        <v>38</v>
      </c>
      <c r="D121" t="s">
        <v>19</v>
      </c>
      <c r="E121">
        <v>1</v>
      </c>
      <c r="F121">
        <v>45</v>
      </c>
      <c r="G121">
        <v>2.2222222222222199E-2</v>
      </c>
      <c r="H121">
        <v>228</v>
      </c>
      <c r="I121">
        <v>4.3859649122806998E-3</v>
      </c>
      <c r="J121">
        <v>2.66081871345029E-2</v>
      </c>
      <c r="K121">
        <v>1</v>
      </c>
      <c r="L121">
        <v>6.25E-2</v>
      </c>
      <c r="M121">
        <v>1.16279069767442E-2</v>
      </c>
      <c r="N121">
        <v>7.4127906976744207E-2</v>
      </c>
      <c r="O121">
        <f t="shared" si="2"/>
        <v>0</v>
      </c>
      <c r="P121">
        <f t="shared" si="3"/>
        <v>0</v>
      </c>
    </row>
    <row r="122" spans="1:16" x14ac:dyDescent="0.25">
      <c r="A122">
        <v>127</v>
      </c>
      <c r="B122">
        <v>154</v>
      </c>
      <c r="C122" t="s">
        <v>29</v>
      </c>
      <c r="D122" t="s">
        <v>56</v>
      </c>
      <c r="E122">
        <v>6</v>
      </c>
      <c r="F122">
        <v>4655</v>
      </c>
      <c r="G122">
        <v>1.2889366272824899E-3</v>
      </c>
      <c r="H122">
        <v>244</v>
      </c>
      <c r="I122">
        <v>2.4590163934426201E-2</v>
      </c>
      <c r="J122">
        <v>2.5879100561708699E-2</v>
      </c>
      <c r="K122">
        <v>2</v>
      </c>
      <c r="L122">
        <v>1.9627085377821401E-3</v>
      </c>
      <c r="M122">
        <v>2.3529411764705899E-2</v>
      </c>
      <c r="N122">
        <v>2.5492120302488E-2</v>
      </c>
      <c r="O122">
        <f t="shared" si="2"/>
        <v>1.791759469228055</v>
      </c>
      <c r="P122">
        <f t="shared" si="3"/>
        <v>0.69314718055994529</v>
      </c>
    </row>
    <row r="123" spans="1:16" x14ac:dyDescent="0.25">
      <c r="A123">
        <v>88</v>
      </c>
      <c r="B123">
        <v>131</v>
      </c>
      <c r="C123" t="s">
        <v>46</v>
      </c>
      <c r="D123" t="s">
        <v>29</v>
      </c>
      <c r="E123">
        <v>3</v>
      </c>
      <c r="F123">
        <v>126</v>
      </c>
      <c r="G123">
        <v>2.3809523809523801E-2</v>
      </c>
      <c r="H123">
        <v>5305</v>
      </c>
      <c r="I123">
        <v>5.6550424128180995E-4</v>
      </c>
      <c r="J123">
        <v>2.4375028050805599E-2</v>
      </c>
      <c r="K123">
        <v>1</v>
      </c>
      <c r="L123">
        <v>2.1276595744680899E-2</v>
      </c>
      <c r="M123">
        <v>8.5106382978723403E-4</v>
      </c>
      <c r="N123">
        <v>2.2127659574468099E-2</v>
      </c>
      <c r="O123">
        <f t="shared" si="2"/>
        <v>1.0986122886681098</v>
      </c>
      <c r="P123">
        <f t="shared" si="3"/>
        <v>0</v>
      </c>
    </row>
    <row r="124" spans="1:16" x14ac:dyDescent="0.25">
      <c r="A124">
        <v>173</v>
      </c>
      <c r="B124">
        <v>101</v>
      </c>
      <c r="C124" t="s">
        <v>39</v>
      </c>
      <c r="D124" t="s">
        <v>22</v>
      </c>
      <c r="E124">
        <v>9</v>
      </c>
      <c r="F124">
        <v>623</v>
      </c>
      <c r="G124">
        <v>1.4446227929374E-2</v>
      </c>
      <c r="H124">
        <v>1139</v>
      </c>
      <c r="I124">
        <v>7.9016681299385397E-3</v>
      </c>
      <c r="J124">
        <v>2.2347896059312498E-2</v>
      </c>
      <c r="K124">
        <v>3</v>
      </c>
      <c r="L124">
        <v>1.79640718562874E-2</v>
      </c>
      <c r="M124">
        <v>7.4257425742574297E-3</v>
      </c>
      <c r="N124">
        <v>2.5389814430544801E-2</v>
      </c>
      <c r="O124">
        <f t="shared" si="2"/>
        <v>2.1972245773362196</v>
      </c>
      <c r="P124">
        <f t="shared" si="3"/>
        <v>1.0986122886681098</v>
      </c>
    </row>
    <row r="125" spans="1:16" x14ac:dyDescent="0.25">
      <c r="A125">
        <v>172</v>
      </c>
      <c r="B125">
        <v>54</v>
      </c>
      <c r="C125" t="s">
        <v>39</v>
      </c>
      <c r="D125" t="s">
        <v>21</v>
      </c>
      <c r="E125">
        <v>13</v>
      </c>
      <c r="F125">
        <v>623</v>
      </c>
      <c r="G125">
        <v>2.0866773675762399E-2</v>
      </c>
      <c r="H125">
        <v>13644</v>
      </c>
      <c r="I125">
        <v>9.5279976546467303E-4</v>
      </c>
      <c r="J125">
        <v>2.1819573441227098E-2</v>
      </c>
      <c r="K125">
        <v>2</v>
      </c>
      <c r="L125">
        <v>1.19760479041916E-2</v>
      </c>
      <c r="M125">
        <v>5.8309037900874602E-4</v>
      </c>
      <c r="N125">
        <v>1.25591382832004E-2</v>
      </c>
      <c r="O125">
        <f t="shared" si="2"/>
        <v>2.5649493574615367</v>
      </c>
      <c r="P125">
        <f t="shared" si="3"/>
        <v>0.69314718055994529</v>
      </c>
    </row>
    <row r="126" spans="1:16" x14ac:dyDescent="0.25">
      <c r="A126">
        <v>182</v>
      </c>
      <c r="B126">
        <v>134</v>
      </c>
      <c r="C126" t="s">
        <v>39</v>
      </c>
      <c r="D126" t="s">
        <v>43</v>
      </c>
      <c r="E126">
        <v>1</v>
      </c>
      <c r="F126">
        <v>623</v>
      </c>
      <c r="G126">
        <v>1.6051364365971101E-3</v>
      </c>
      <c r="H126">
        <v>50</v>
      </c>
      <c r="I126">
        <v>0.02</v>
      </c>
      <c r="J126">
        <v>2.1605136436597099E-2</v>
      </c>
      <c r="O126">
        <f t="shared" si="2"/>
        <v>0</v>
      </c>
    </row>
    <row r="127" spans="1:16" x14ac:dyDescent="0.25">
      <c r="A127">
        <v>101</v>
      </c>
      <c r="B127">
        <v>146</v>
      </c>
      <c r="C127" t="s">
        <v>41</v>
      </c>
      <c r="D127" t="s">
        <v>35</v>
      </c>
      <c r="E127">
        <v>8</v>
      </c>
      <c r="F127">
        <v>451</v>
      </c>
      <c r="G127">
        <v>1.7738359201773801E-2</v>
      </c>
      <c r="H127">
        <v>2533</v>
      </c>
      <c r="I127">
        <v>3.1583103039873701E-3</v>
      </c>
      <c r="J127">
        <v>2.08966695057612E-2</v>
      </c>
      <c r="K127">
        <v>2</v>
      </c>
      <c r="L127">
        <v>1.21951219512195E-2</v>
      </c>
      <c r="M127">
        <v>1.4084507042253501E-2</v>
      </c>
      <c r="N127">
        <v>2.6279628993473001E-2</v>
      </c>
      <c r="O127">
        <f t="shared" si="2"/>
        <v>2.0794415416798357</v>
      </c>
      <c r="P127">
        <f t="shared" si="3"/>
        <v>0.69314718055994529</v>
      </c>
    </row>
    <row r="128" spans="1:16" x14ac:dyDescent="0.25">
      <c r="A128">
        <v>50</v>
      </c>
      <c r="B128">
        <v>143</v>
      </c>
      <c r="C128" t="s">
        <v>20</v>
      </c>
      <c r="D128" t="s">
        <v>35</v>
      </c>
      <c r="E128">
        <v>44</v>
      </c>
      <c r="F128">
        <v>14583</v>
      </c>
      <c r="G128">
        <v>3.0172118219845001E-3</v>
      </c>
      <c r="H128">
        <v>2533</v>
      </c>
      <c r="I128">
        <v>1.73707066719305E-2</v>
      </c>
      <c r="J128">
        <v>2.0387918493915001E-2</v>
      </c>
      <c r="O128">
        <f t="shared" si="2"/>
        <v>3.784189633918261</v>
      </c>
    </row>
    <row r="129" spans="1:16" x14ac:dyDescent="0.25">
      <c r="A129">
        <v>34</v>
      </c>
      <c r="B129">
        <v>184</v>
      </c>
      <c r="C129" t="s">
        <v>23</v>
      </c>
      <c r="D129" t="s">
        <v>26</v>
      </c>
      <c r="E129">
        <v>2</v>
      </c>
      <c r="F129">
        <v>2358</v>
      </c>
      <c r="G129">
        <v>8.4817642069550498E-4</v>
      </c>
      <c r="H129">
        <v>107</v>
      </c>
      <c r="I129">
        <v>1.86915887850467E-2</v>
      </c>
      <c r="J129">
        <v>1.9539765205742202E-2</v>
      </c>
      <c r="K129">
        <v>1</v>
      </c>
      <c r="L129">
        <v>1.63398692810458E-3</v>
      </c>
      <c r="M129">
        <v>2.5641025641025599E-2</v>
      </c>
      <c r="N129">
        <v>2.7275012569130199E-2</v>
      </c>
      <c r="O129">
        <f t="shared" si="2"/>
        <v>0.69314718055994529</v>
      </c>
      <c r="P129">
        <f t="shared" si="3"/>
        <v>0</v>
      </c>
    </row>
    <row r="130" spans="1:16" x14ac:dyDescent="0.25">
      <c r="A130">
        <v>56</v>
      </c>
      <c r="B130">
        <v>166</v>
      </c>
      <c r="C130" t="s">
        <v>20</v>
      </c>
      <c r="D130" t="s">
        <v>28</v>
      </c>
      <c r="E130">
        <v>11</v>
      </c>
      <c r="F130">
        <v>14583</v>
      </c>
      <c r="G130">
        <v>7.54302955496126E-4</v>
      </c>
      <c r="H130">
        <v>586</v>
      </c>
      <c r="I130">
        <v>1.87713310580205E-2</v>
      </c>
      <c r="J130">
        <v>1.9525634013516601E-2</v>
      </c>
      <c r="K130">
        <v>4</v>
      </c>
      <c r="L130">
        <v>1.07816711590297E-3</v>
      </c>
      <c r="M130">
        <v>1.7316017316017299E-2</v>
      </c>
      <c r="N130">
        <v>1.8394184431920299E-2</v>
      </c>
      <c r="O130">
        <f t="shared" si="2"/>
        <v>2.3978952727983707</v>
      </c>
      <c r="P130">
        <f t="shared" si="3"/>
        <v>1.3862943611198906</v>
      </c>
    </row>
    <row r="131" spans="1:16" x14ac:dyDescent="0.25">
      <c r="A131">
        <v>90</v>
      </c>
      <c r="B131">
        <v>169</v>
      </c>
      <c r="C131" t="s">
        <v>46</v>
      </c>
      <c r="D131" t="s">
        <v>28</v>
      </c>
      <c r="E131">
        <v>2</v>
      </c>
      <c r="F131">
        <v>126</v>
      </c>
      <c r="G131">
        <v>1.58730158730159E-2</v>
      </c>
      <c r="H131">
        <v>586</v>
      </c>
      <c r="I131">
        <v>3.4129692832764501E-3</v>
      </c>
      <c r="J131">
        <v>1.9285985156292301E-2</v>
      </c>
      <c r="K131">
        <v>1</v>
      </c>
      <c r="L131">
        <v>2.1276595744680899E-2</v>
      </c>
      <c r="M131">
        <v>4.3290043290043299E-3</v>
      </c>
      <c r="N131">
        <v>2.5605600073685199E-2</v>
      </c>
      <c r="O131">
        <f t="shared" ref="O131:O194" si="4">LN(E131)</f>
        <v>0.69314718055994529</v>
      </c>
      <c r="P131">
        <f t="shared" ref="P131:P194" si="5">LN(K131)</f>
        <v>0</v>
      </c>
    </row>
    <row r="132" spans="1:16" x14ac:dyDescent="0.25">
      <c r="A132">
        <v>31</v>
      </c>
      <c r="B132">
        <v>19</v>
      </c>
      <c r="C132" t="s">
        <v>23</v>
      </c>
      <c r="D132" t="s">
        <v>57</v>
      </c>
      <c r="E132">
        <v>2</v>
      </c>
      <c r="F132">
        <v>2358</v>
      </c>
      <c r="G132">
        <v>8.4817642069550498E-4</v>
      </c>
      <c r="H132">
        <v>113</v>
      </c>
      <c r="I132">
        <v>1.7699115044247801E-2</v>
      </c>
      <c r="J132">
        <v>1.85472914649433E-2</v>
      </c>
      <c r="O132">
        <f t="shared" si="4"/>
        <v>0.69314718055994529</v>
      </c>
    </row>
    <row r="133" spans="1:16" x14ac:dyDescent="0.25">
      <c r="A133">
        <v>29</v>
      </c>
      <c r="B133">
        <v>155</v>
      </c>
      <c r="C133" t="s">
        <v>23</v>
      </c>
      <c r="D133" t="s">
        <v>56</v>
      </c>
      <c r="E133">
        <v>4</v>
      </c>
      <c r="F133">
        <v>2358</v>
      </c>
      <c r="G133">
        <v>1.69635284139101E-3</v>
      </c>
      <c r="H133">
        <v>244</v>
      </c>
      <c r="I133">
        <v>1.63934426229508E-2</v>
      </c>
      <c r="J133">
        <v>1.80897954643418E-2</v>
      </c>
      <c r="K133">
        <v>2</v>
      </c>
      <c r="L133">
        <v>3.26797385620915E-3</v>
      </c>
      <c r="M133">
        <v>2.3529411764705899E-2</v>
      </c>
      <c r="N133">
        <v>2.6797385620915E-2</v>
      </c>
      <c r="O133">
        <f t="shared" si="4"/>
        <v>1.3862943611198906</v>
      </c>
      <c r="P133">
        <f t="shared" si="5"/>
        <v>0.69314718055994529</v>
      </c>
    </row>
    <row r="134" spans="1:16" x14ac:dyDescent="0.25">
      <c r="A134">
        <v>2</v>
      </c>
      <c r="B134">
        <v>106</v>
      </c>
      <c r="C134" t="s">
        <v>18</v>
      </c>
      <c r="D134" t="s">
        <v>22</v>
      </c>
      <c r="E134">
        <v>3</v>
      </c>
      <c r="F134">
        <v>228</v>
      </c>
      <c r="G134">
        <v>1.3157894736842099E-2</v>
      </c>
      <c r="H134">
        <v>1139</v>
      </c>
      <c r="I134">
        <v>2.6338893766461799E-3</v>
      </c>
      <c r="J134">
        <v>1.5791784113488298E-2</v>
      </c>
      <c r="K134">
        <v>1</v>
      </c>
      <c r="L134">
        <v>1.1764705882352899E-2</v>
      </c>
      <c r="M134">
        <v>2.47524752475248E-3</v>
      </c>
      <c r="N134">
        <v>1.4239953407105399E-2</v>
      </c>
      <c r="O134">
        <f t="shared" si="4"/>
        <v>1.0986122886681098</v>
      </c>
      <c r="P134">
        <f t="shared" si="5"/>
        <v>0</v>
      </c>
    </row>
    <row r="135" spans="1:16" x14ac:dyDescent="0.25">
      <c r="A135">
        <v>125</v>
      </c>
      <c r="B135">
        <v>25</v>
      </c>
      <c r="C135" t="s">
        <v>29</v>
      </c>
      <c r="D135" t="s">
        <v>48</v>
      </c>
      <c r="E135">
        <v>8</v>
      </c>
      <c r="F135">
        <v>4655</v>
      </c>
      <c r="G135">
        <v>1.71858216970999E-3</v>
      </c>
      <c r="H135">
        <v>636</v>
      </c>
      <c r="I135">
        <v>1.25786163522013E-2</v>
      </c>
      <c r="J135">
        <v>1.4297198521911201E-2</v>
      </c>
      <c r="K135">
        <v>4</v>
      </c>
      <c r="L135">
        <v>3.9254170755642801E-3</v>
      </c>
      <c r="M135">
        <v>1.26984126984127E-2</v>
      </c>
      <c r="N135">
        <v>1.6623829773977E-2</v>
      </c>
      <c r="O135">
        <f t="shared" si="4"/>
        <v>2.0794415416798357</v>
      </c>
      <c r="P135">
        <f t="shared" si="5"/>
        <v>1.3862943611198906</v>
      </c>
    </row>
    <row r="136" spans="1:16" x14ac:dyDescent="0.25">
      <c r="A136">
        <v>131</v>
      </c>
      <c r="B136">
        <v>83</v>
      </c>
      <c r="C136" t="s">
        <v>29</v>
      </c>
      <c r="D136" t="s">
        <v>46</v>
      </c>
      <c r="E136">
        <v>3</v>
      </c>
      <c r="F136">
        <v>4655</v>
      </c>
      <c r="G136">
        <v>6.4446831364124604E-4</v>
      </c>
      <c r="H136">
        <v>220</v>
      </c>
      <c r="I136">
        <v>1.3636363636363599E-2</v>
      </c>
      <c r="J136">
        <v>1.42808319500049E-2</v>
      </c>
      <c r="O136">
        <f t="shared" si="4"/>
        <v>1.0986122886681098</v>
      </c>
    </row>
    <row r="137" spans="1:16" x14ac:dyDescent="0.25">
      <c r="A137">
        <v>3</v>
      </c>
      <c r="B137">
        <v>196</v>
      </c>
      <c r="C137" t="s">
        <v>18</v>
      </c>
      <c r="D137" t="s">
        <v>42</v>
      </c>
      <c r="E137">
        <v>3</v>
      </c>
      <c r="F137">
        <v>228</v>
      </c>
      <c r="G137">
        <v>1.3157894736842099E-2</v>
      </c>
      <c r="H137">
        <v>3128</v>
      </c>
      <c r="I137">
        <v>9.5907928388746795E-4</v>
      </c>
      <c r="J137">
        <v>1.4116974020729599E-2</v>
      </c>
      <c r="K137">
        <v>1</v>
      </c>
      <c r="L137">
        <v>1.1764705882352899E-2</v>
      </c>
      <c r="M137">
        <v>2.1978021978022E-3</v>
      </c>
      <c r="N137">
        <v>1.39625080801551E-2</v>
      </c>
      <c r="O137">
        <f t="shared" si="4"/>
        <v>1.0986122886681098</v>
      </c>
      <c r="P137">
        <f t="shared" si="5"/>
        <v>0</v>
      </c>
    </row>
    <row r="138" spans="1:16" x14ac:dyDescent="0.25">
      <c r="A138">
        <v>194</v>
      </c>
      <c r="B138">
        <v>20</v>
      </c>
      <c r="C138" t="s">
        <v>42</v>
      </c>
      <c r="D138" t="s">
        <v>57</v>
      </c>
      <c r="E138">
        <v>1</v>
      </c>
      <c r="F138">
        <v>214</v>
      </c>
      <c r="G138">
        <v>4.6728971962616802E-3</v>
      </c>
      <c r="H138">
        <v>113</v>
      </c>
      <c r="I138">
        <v>8.8495575221238902E-3</v>
      </c>
      <c r="J138">
        <v>1.3522454718385601E-2</v>
      </c>
      <c r="O138">
        <f t="shared" si="4"/>
        <v>0</v>
      </c>
    </row>
    <row r="139" spans="1:16" x14ac:dyDescent="0.25">
      <c r="A139">
        <v>174</v>
      </c>
      <c r="B139">
        <v>127</v>
      </c>
      <c r="C139" t="s">
        <v>39</v>
      </c>
      <c r="D139" t="s">
        <v>29</v>
      </c>
      <c r="E139">
        <v>7</v>
      </c>
      <c r="F139">
        <v>623</v>
      </c>
      <c r="G139">
        <v>1.1235955056179799E-2</v>
      </c>
      <c r="H139">
        <v>5305</v>
      </c>
      <c r="I139">
        <v>1.3195098963242201E-3</v>
      </c>
      <c r="J139">
        <v>1.2555464952504E-2</v>
      </c>
      <c r="K139">
        <v>2</v>
      </c>
      <c r="L139">
        <v>1.19760479041916E-2</v>
      </c>
      <c r="M139">
        <v>1.70212765957447E-3</v>
      </c>
      <c r="N139">
        <v>1.3678175563766101E-2</v>
      </c>
      <c r="O139">
        <f t="shared" si="4"/>
        <v>1.9459101490553132</v>
      </c>
      <c r="P139">
        <f t="shared" si="5"/>
        <v>0.69314718055994529</v>
      </c>
    </row>
    <row r="140" spans="1:16" x14ac:dyDescent="0.25">
      <c r="A140">
        <v>187</v>
      </c>
      <c r="B140">
        <v>128</v>
      </c>
      <c r="C140" t="s">
        <v>27</v>
      </c>
      <c r="D140" t="s">
        <v>29</v>
      </c>
      <c r="E140">
        <v>6</v>
      </c>
      <c r="F140">
        <v>614</v>
      </c>
      <c r="G140">
        <v>9.77198697068404E-3</v>
      </c>
      <c r="H140">
        <v>5305</v>
      </c>
      <c r="I140">
        <v>1.1310084825636199E-3</v>
      </c>
      <c r="J140">
        <v>1.09029954532477E-2</v>
      </c>
      <c r="K140">
        <v>2</v>
      </c>
      <c r="L140">
        <v>7.8740157480314994E-3</v>
      </c>
      <c r="M140">
        <v>1.70212765957447E-3</v>
      </c>
      <c r="N140">
        <v>9.5761434076059599E-3</v>
      </c>
      <c r="O140">
        <f t="shared" si="4"/>
        <v>1.791759469228055</v>
      </c>
      <c r="P140">
        <f t="shared" si="5"/>
        <v>0.69314718055994529</v>
      </c>
    </row>
    <row r="141" spans="1:16" x14ac:dyDescent="0.25">
      <c r="A141">
        <v>75</v>
      </c>
      <c r="B141">
        <v>103</v>
      </c>
      <c r="C141" t="s">
        <v>47</v>
      </c>
      <c r="D141" t="s">
        <v>22</v>
      </c>
      <c r="E141">
        <v>6</v>
      </c>
      <c r="F141">
        <v>1165</v>
      </c>
      <c r="G141">
        <v>5.15021459227468E-3</v>
      </c>
      <c r="H141">
        <v>1139</v>
      </c>
      <c r="I141">
        <v>5.2677787532923598E-3</v>
      </c>
      <c r="J141">
        <v>1.0417993345567001E-2</v>
      </c>
      <c r="K141">
        <v>2</v>
      </c>
      <c r="L141">
        <v>6.2111801242236003E-3</v>
      </c>
      <c r="M141">
        <v>4.9504950495049497E-3</v>
      </c>
      <c r="N141">
        <v>1.11616751737286E-2</v>
      </c>
      <c r="O141">
        <f t="shared" si="4"/>
        <v>1.791759469228055</v>
      </c>
      <c r="P141">
        <f t="shared" si="5"/>
        <v>0.69314718055994529</v>
      </c>
    </row>
    <row r="142" spans="1:16" x14ac:dyDescent="0.25">
      <c r="A142">
        <v>140</v>
      </c>
      <c r="B142">
        <v>37</v>
      </c>
      <c r="C142" t="s">
        <v>32</v>
      </c>
      <c r="D142" t="s">
        <v>24</v>
      </c>
      <c r="E142">
        <v>17</v>
      </c>
      <c r="F142">
        <v>6729</v>
      </c>
      <c r="G142">
        <v>2.5263783623123799E-3</v>
      </c>
      <c r="H142">
        <v>2287</v>
      </c>
      <c r="I142">
        <v>7.4333187581985096E-3</v>
      </c>
      <c r="J142">
        <v>9.9596971205108895E-3</v>
      </c>
      <c r="K142">
        <v>6</v>
      </c>
      <c r="L142">
        <v>8.0536912751677896E-3</v>
      </c>
      <c r="M142">
        <v>9.9173553719008305E-3</v>
      </c>
      <c r="N142">
        <v>1.7971046647068601E-2</v>
      </c>
      <c r="O142">
        <f t="shared" si="4"/>
        <v>2.8332133440562162</v>
      </c>
      <c r="P142">
        <f t="shared" si="5"/>
        <v>1.791759469228055</v>
      </c>
    </row>
    <row r="143" spans="1:16" x14ac:dyDescent="0.25">
      <c r="A143">
        <v>166</v>
      </c>
      <c r="B143">
        <v>84</v>
      </c>
      <c r="C143" t="s">
        <v>34</v>
      </c>
      <c r="D143" t="s">
        <v>46</v>
      </c>
      <c r="E143">
        <v>2</v>
      </c>
      <c r="F143">
        <v>2458</v>
      </c>
      <c r="G143">
        <v>8.1366965012204999E-4</v>
      </c>
      <c r="H143">
        <v>220</v>
      </c>
      <c r="I143">
        <v>9.0909090909090905E-3</v>
      </c>
      <c r="J143">
        <v>9.9045787410311399E-3</v>
      </c>
      <c r="O143">
        <f t="shared" si="4"/>
        <v>0.69314718055994529</v>
      </c>
    </row>
    <row r="144" spans="1:16" x14ac:dyDescent="0.25">
      <c r="A144">
        <v>193</v>
      </c>
      <c r="B144">
        <v>179</v>
      </c>
      <c r="C144" t="s">
        <v>42</v>
      </c>
      <c r="D144" t="s">
        <v>33</v>
      </c>
      <c r="E144">
        <v>2</v>
      </c>
      <c r="F144">
        <v>214</v>
      </c>
      <c r="G144">
        <v>9.3457943925233603E-3</v>
      </c>
      <c r="H144">
        <v>4779</v>
      </c>
      <c r="I144">
        <v>4.1849759363883702E-4</v>
      </c>
      <c r="J144">
        <v>9.7642919861622001E-3</v>
      </c>
      <c r="O144">
        <f t="shared" si="4"/>
        <v>0.69314718055994529</v>
      </c>
    </row>
    <row r="145" spans="1:16" x14ac:dyDescent="0.25">
      <c r="A145">
        <v>175</v>
      </c>
      <c r="B145">
        <v>195</v>
      </c>
      <c r="C145" t="s">
        <v>39</v>
      </c>
      <c r="D145" t="s">
        <v>42</v>
      </c>
      <c r="E145">
        <v>5</v>
      </c>
      <c r="F145">
        <v>623</v>
      </c>
      <c r="G145">
        <v>8.0256821829855496E-3</v>
      </c>
      <c r="H145">
        <v>3128</v>
      </c>
      <c r="I145">
        <v>1.59846547314578E-3</v>
      </c>
      <c r="J145">
        <v>9.6241476561313294E-3</v>
      </c>
      <c r="K145">
        <v>1</v>
      </c>
      <c r="L145">
        <v>5.9880239520958096E-3</v>
      </c>
      <c r="M145">
        <v>2.1978021978022E-3</v>
      </c>
      <c r="N145">
        <v>8.1858261498980091E-3</v>
      </c>
      <c r="O145">
        <f t="shared" si="4"/>
        <v>1.6094379124341003</v>
      </c>
      <c r="P145">
        <f t="shared" si="5"/>
        <v>0</v>
      </c>
    </row>
    <row r="146" spans="1:16" x14ac:dyDescent="0.25">
      <c r="A146">
        <v>102</v>
      </c>
      <c r="B146">
        <v>129</v>
      </c>
      <c r="C146" t="s">
        <v>41</v>
      </c>
      <c r="D146" t="s">
        <v>29</v>
      </c>
      <c r="E146">
        <v>4</v>
      </c>
      <c r="F146">
        <v>451</v>
      </c>
      <c r="G146">
        <v>8.8691796008869197E-3</v>
      </c>
      <c r="H146">
        <v>5305</v>
      </c>
      <c r="I146">
        <v>7.5400565504241297E-4</v>
      </c>
      <c r="J146">
        <v>9.6231852559293292E-3</v>
      </c>
      <c r="K146">
        <v>2</v>
      </c>
      <c r="L146">
        <v>1.21951219512195E-2</v>
      </c>
      <c r="M146">
        <v>1.70212765957447E-3</v>
      </c>
      <c r="N146">
        <v>1.3897249610794001E-2</v>
      </c>
      <c r="O146">
        <f t="shared" si="4"/>
        <v>1.3862943611198906</v>
      </c>
      <c r="P146">
        <f t="shared" si="5"/>
        <v>0.69314718055994529</v>
      </c>
    </row>
    <row r="147" spans="1:16" x14ac:dyDescent="0.25">
      <c r="A147">
        <v>103</v>
      </c>
      <c r="B147">
        <v>107</v>
      </c>
      <c r="C147" t="s">
        <v>41</v>
      </c>
      <c r="D147" t="s">
        <v>22</v>
      </c>
      <c r="E147">
        <v>3</v>
      </c>
      <c r="F147">
        <v>451</v>
      </c>
      <c r="G147">
        <v>6.6518847006651902E-3</v>
      </c>
      <c r="H147">
        <v>1139</v>
      </c>
      <c r="I147">
        <v>2.6338893766461799E-3</v>
      </c>
      <c r="J147">
        <v>9.2857740773113692E-3</v>
      </c>
      <c r="K147">
        <v>1</v>
      </c>
      <c r="L147">
        <v>6.0975609756097598E-3</v>
      </c>
      <c r="M147">
        <v>2.47524752475248E-3</v>
      </c>
      <c r="N147">
        <v>8.5728085003622303E-3</v>
      </c>
      <c r="O147">
        <f t="shared" si="4"/>
        <v>1.0986122886681098</v>
      </c>
      <c r="P147">
        <f t="shared" si="5"/>
        <v>0</v>
      </c>
    </row>
    <row r="148" spans="1:16" x14ac:dyDescent="0.25">
      <c r="A148">
        <v>25</v>
      </c>
      <c r="B148">
        <v>122</v>
      </c>
      <c r="C148" t="s">
        <v>23</v>
      </c>
      <c r="D148" t="s">
        <v>29</v>
      </c>
      <c r="E148">
        <v>15</v>
      </c>
      <c r="F148">
        <v>2358</v>
      </c>
      <c r="G148">
        <v>6.3613231552162803E-3</v>
      </c>
      <c r="H148">
        <v>5305</v>
      </c>
      <c r="I148">
        <v>2.8275212064090499E-3</v>
      </c>
      <c r="J148">
        <v>9.1888443616253302E-3</v>
      </c>
      <c r="K148">
        <v>5</v>
      </c>
      <c r="L148">
        <v>8.1699346405228798E-3</v>
      </c>
      <c r="M148">
        <v>4.2553191489361703E-3</v>
      </c>
      <c r="N148">
        <v>1.2425253789459001E-2</v>
      </c>
      <c r="O148">
        <f t="shared" si="4"/>
        <v>2.7080502011022101</v>
      </c>
      <c r="P148">
        <f t="shared" si="5"/>
        <v>1.6094379124341003</v>
      </c>
    </row>
    <row r="149" spans="1:16" x14ac:dyDescent="0.25">
      <c r="A149">
        <v>24</v>
      </c>
      <c r="B149">
        <v>53</v>
      </c>
      <c r="C149" t="s">
        <v>23</v>
      </c>
      <c r="D149" t="s">
        <v>21</v>
      </c>
      <c r="E149">
        <v>18</v>
      </c>
      <c r="F149">
        <v>2358</v>
      </c>
      <c r="G149">
        <v>7.63358778625954E-3</v>
      </c>
      <c r="H149">
        <v>13644</v>
      </c>
      <c r="I149">
        <v>1.31926121372032E-3</v>
      </c>
      <c r="J149">
        <v>8.9528489999798604E-3</v>
      </c>
      <c r="K149">
        <v>5</v>
      </c>
      <c r="L149">
        <v>8.1699346405228798E-3</v>
      </c>
      <c r="M149">
        <v>1.45772594752187E-3</v>
      </c>
      <c r="N149">
        <v>9.6276605880447393E-3</v>
      </c>
      <c r="O149">
        <f t="shared" si="4"/>
        <v>2.8903717578961645</v>
      </c>
      <c r="P149">
        <f t="shared" si="5"/>
        <v>1.6094379124341003</v>
      </c>
    </row>
    <row r="150" spans="1:16" x14ac:dyDescent="0.25">
      <c r="A150">
        <v>4</v>
      </c>
      <c r="B150">
        <v>85</v>
      </c>
      <c r="C150" t="s">
        <v>18</v>
      </c>
      <c r="D150" t="s">
        <v>46</v>
      </c>
      <c r="E150">
        <v>1</v>
      </c>
      <c r="F150">
        <v>228</v>
      </c>
      <c r="G150">
        <v>4.3859649122806998E-3</v>
      </c>
      <c r="H150">
        <v>220</v>
      </c>
      <c r="I150">
        <v>4.5454545454545496E-3</v>
      </c>
      <c r="J150">
        <v>8.9314194577352502E-3</v>
      </c>
      <c r="O150">
        <f t="shared" si="4"/>
        <v>0</v>
      </c>
    </row>
    <row r="151" spans="1:16" x14ac:dyDescent="0.25">
      <c r="A151">
        <v>161</v>
      </c>
      <c r="B151">
        <v>123</v>
      </c>
      <c r="C151" t="s">
        <v>34</v>
      </c>
      <c r="D151" t="s">
        <v>29</v>
      </c>
      <c r="E151">
        <v>15</v>
      </c>
      <c r="F151">
        <v>2458</v>
      </c>
      <c r="G151">
        <v>6.1025223759153804E-3</v>
      </c>
      <c r="H151">
        <v>5305</v>
      </c>
      <c r="I151">
        <v>2.8275212064090499E-3</v>
      </c>
      <c r="J151">
        <v>8.9300435823244304E-3</v>
      </c>
      <c r="K151">
        <v>5</v>
      </c>
      <c r="L151">
        <v>5.7471264367816098E-2</v>
      </c>
      <c r="M151">
        <v>4.2553191489361703E-3</v>
      </c>
      <c r="N151">
        <v>6.1726583516752302E-2</v>
      </c>
      <c r="O151">
        <f t="shared" si="4"/>
        <v>2.7080502011022101</v>
      </c>
      <c r="P151">
        <f t="shared" si="5"/>
        <v>1.6094379124341003</v>
      </c>
    </row>
    <row r="152" spans="1:16" x14ac:dyDescent="0.25">
      <c r="A152">
        <v>148</v>
      </c>
      <c r="B152">
        <v>156</v>
      </c>
      <c r="C152" t="s">
        <v>32</v>
      </c>
      <c r="D152" t="s">
        <v>56</v>
      </c>
      <c r="E152">
        <v>2</v>
      </c>
      <c r="F152">
        <v>6729</v>
      </c>
      <c r="G152">
        <v>2.9722098380145599E-4</v>
      </c>
      <c r="H152">
        <v>244</v>
      </c>
      <c r="I152">
        <v>8.1967213114754103E-3</v>
      </c>
      <c r="J152">
        <v>8.4939422952768698E-3</v>
      </c>
      <c r="O152">
        <f t="shared" si="4"/>
        <v>0.69314718055994529</v>
      </c>
    </row>
    <row r="153" spans="1:16" x14ac:dyDescent="0.25">
      <c r="A153">
        <v>188</v>
      </c>
      <c r="B153">
        <v>95</v>
      </c>
      <c r="C153" t="s">
        <v>27</v>
      </c>
      <c r="D153" t="s">
        <v>40</v>
      </c>
      <c r="E153">
        <v>3</v>
      </c>
      <c r="F153">
        <v>614</v>
      </c>
      <c r="G153">
        <v>4.88599348534202E-3</v>
      </c>
      <c r="H153">
        <v>879</v>
      </c>
      <c r="I153">
        <v>3.4129692832764501E-3</v>
      </c>
      <c r="J153">
        <v>8.2989627686184692E-3</v>
      </c>
      <c r="K153">
        <v>1</v>
      </c>
      <c r="L153">
        <v>3.9370078740157497E-3</v>
      </c>
      <c r="M153">
        <v>3.7174721189591098E-3</v>
      </c>
      <c r="N153">
        <v>7.6544799929748599E-3</v>
      </c>
      <c r="O153">
        <f t="shared" si="4"/>
        <v>1.0986122886681098</v>
      </c>
      <c r="P153">
        <f t="shared" si="5"/>
        <v>0</v>
      </c>
    </row>
    <row r="154" spans="1:16" x14ac:dyDescent="0.25">
      <c r="A154">
        <v>142</v>
      </c>
      <c r="B154">
        <v>144</v>
      </c>
      <c r="C154" t="s">
        <v>32</v>
      </c>
      <c r="D154" t="s">
        <v>35</v>
      </c>
      <c r="E154">
        <v>14</v>
      </c>
      <c r="F154">
        <v>6729</v>
      </c>
      <c r="G154">
        <v>2.0805468866101902E-3</v>
      </c>
      <c r="H154">
        <v>2533</v>
      </c>
      <c r="I154">
        <v>5.5270430319778897E-3</v>
      </c>
      <c r="J154">
        <v>7.6075899185880898E-3</v>
      </c>
      <c r="K154">
        <v>2</v>
      </c>
      <c r="L154">
        <v>2.6845637583892599E-3</v>
      </c>
      <c r="M154">
        <v>1.4084507042253501E-2</v>
      </c>
      <c r="N154">
        <v>1.6769070800642799E-2</v>
      </c>
      <c r="O154">
        <f t="shared" si="4"/>
        <v>2.6390573296152584</v>
      </c>
      <c r="P154">
        <f t="shared" si="5"/>
        <v>0.69314718055994529</v>
      </c>
    </row>
    <row r="155" spans="1:16" x14ac:dyDescent="0.25">
      <c r="A155">
        <v>123</v>
      </c>
      <c r="B155">
        <v>145</v>
      </c>
      <c r="C155" t="s">
        <v>29</v>
      </c>
      <c r="D155" t="s">
        <v>35</v>
      </c>
      <c r="E155">
        <v>11</v>
      </c>
      <c r="F155">
        <v>4655</v>
      </c>
      <c r="G155">
        <v>2.3630504833512399E-3</v>
      </c>
      <c r="H155">
        <v>2533</v>
      </c>
      <c r="I155">
        <v>4.3426766679826303E-3</v>
      </c>
      <c r="J155">
        <v>6.7057271513338602E-3</v>
      </c>
      <c r="K155">
        <v>3</v>
      </c>
      <c r="L155">
        <v>2.9440628066732099E-3</v>
      </c>
      <c r="M155">
        <v>2.1126760563380299E-2</v>
      </c>
      <c r="N155">
        <v>2.40708233700535E-2</v>
      </c>
      <c r="O155">
        <f t="shared" si="4"/>
        <v>2.3978952727983707</v>
      </c>
      <c r="P155">
        <f t="shared" si="5"/>
        <v>1.0986122886681098</v>
      </c>
    </row>
    <row r="156" spans="1:16" x14ac:dyDescent="0.25">
      <c r="A156">
        <v>126</v>
      </c>
      <c r="B156">
        <v>104</v>
      </c>
      <c r="C156" t="s">
        <v>29</v>
      </c>
      <c r="D156" t="s">
        <v>22</v>
      </c>
      <c r="E156">
        <v>6</v>
      </c>
      <c r="F156">
        <v>4655</v>
      </c>
      <c r="G156">
        <v>1.2889366272824899E-3</v>
      </c>
      <c r="H156">
        <v>1139</v>
      </c>
      <c r="I156">
        <v>5.2677787532923598E-3</v>
      </c>
      <c r="J156">
        <v>6.5567153805748497E-3</v>
      </c>
      <c r="K156">
        <v>2</v>
      </c>
      <c r="L156">
        <v>1.9627085377821401E-3</v>
      </c>
      <c r="M156">
        <v>4.9504950495049497E-3</v>
      </c>
      <c r="N156">
        <v>6.9132035872870902E-3</v>
      </c>
      <c r="O156">
        <f t="shared" si="4"/>
        <v>1.791759469228055</v>
      </c>
      <c r="P156">
        <f t="shared" si="5"/>
        <v>0.69314718055994529</v>
      </c>
    </row>
    <row r="157" spans="1:16" x14ac:dyDescent="0.25">
      <c r="A157">
        <v>165</v>
      </c>
      <c r="B157">
        <v>167</v>
      </c>
      <c r="C157" t="s">
        <v>34</v>
      </c>
      <c r="D157" t="s">
        <v>28</v>
      </c>
      <c r="E157">
        <v>3</v>
      </c>
      <c r="F157">
        <v>2458</v>
      </c>
      <c r="G157">
        <v>1.22050447518308E-3</v>
      </c>
      <c r="H157">
        <v>586</v>
      </c>
      <c r="I157">
        <v>5.1194539249146799E-3</v>
      </c>
      <c r="J157">
        <v>6.3399584000977498E-3</v>
      </c>
      <c r="K157">
        <v>1</v>
      </c>
      <c r="L157">
        <v>1.1494252873563199E-2</v>
      </c>
      <c r="M157">
        <v>4.3290043290043299E-3</v>
      </c>
      <c r="N157">
        <v>1.5823257202567501E-2</v>
      </c>
      <c r="O157">
        <f t="shared" si="4"/>
        <v>1.0986122886681098</v>
      </c>
      <c r="P157">
        <f t="shared" si="5"/>
        <v>0</v>
      </c>
    </row>
    <row r="158" spans="1:16" x14ac:dyDescent="0.25">
      <c r="A158">
        <v>177</v>
      </c>
      <c r="B158">
        <v>147</v>
      </c>
      <c r="C158" t="s">
        <v>39</v>
      </c>
      <c r="D158" t="s">
        <v>35</v>
      </c>
      <c r="E158">
        <v>3</v>
      </c>
      <c r="F158">
        <v>623</v>
      </c>
      <c r="G158">
        <v>4.8154093097913303E-3</v>
      </c>
      <c r="H158">
        <v>2533</v>
      </c>
      <c r="I158">
        <v>1.18436636399526E-3</v>
      </c>
      <c r="J158">
        <v>5.9997756737865896E-3</v>
      </c>
      <c r="O158">
        <f t="shared" si="4"/>
        <v>1.0986122886681098</v>
      </c>
    </row>
    <row r="159" spans="1:16" x14ac:dyDescent="0.25">
      <c r="A159">
        <v>163</v>
      </c>
      <c r="B159">
        <v>39</v>
      </c>
      <c r="C159" t="s">
        <v>34</v>
      </c>
      <c r="D159" t="s">
        <v>24</v>
      </c>
      <c r="E159">
        <v>7</v>
      </c>
      <c r="F159">
        <v>2458</v>
      </c>
      <c r="G159">
        <v>2.84784377542718E-3</v>
      </c>
      <c r="H159">
        <v>2287</v>
      </c>
      <c r="I159">
        <v>3.0607783121993901E-3</v>
      </c>
      <c r="J159">
        <v>5.9086220876265602E-3</v>
      </c>
      <c r="O159">
        <f t="shared" si="4"/>
        <v>1.9459101490553132</v>
      </c>
    </row>
    <row r="160" spans="1:16" x14ac:dyDescent="0.25">
      <c r="A160">
        <v>195</v>
      </c>
      <c r="B160">
        <v>99</v>
      </c>
      <c r="C160" t="s">
        <v>42</v>
      </c>
      <c r="D160" t="s">
        <v>40</v>
      </c>
      <c r="E160">
        <v>1</v>
      </c>
      <c r="F160">
        <v>214</v>
      </c>
      <c r="G160">
        <v>4.6728971962616802E-3</v>
      </c>
      <c r="H160">
        <v>879</v>
      </c>
      <c r="I160">
        <v>1.13765642775882E-3</v>
      </c>
      <c r="J160">
        <v>5.8105536240204998E-3</v>
      </c>
      <c r="O160">
        <f t="shared" si="4"/>
        <v>0</v>
      </c>
    </row>
    <row r="161" spans="1:16" x14ac:dyDescent="0.25">
      <c r="A161">
        <v>58</v>
      </c>
      <c r="B161">
        <v>102</v>
      </c>
      <c r="C161" t="s">
        <v>20</v>
      </c>
      <c r="D161" t="s">
        <v>22</v>
      </c>
      <c r="E161">
        <v>6</v>
      </c>
      <c r="F161">
        <v>14583</v>
      </c>
      <c r="G161">
        <v>4.1143797572515899E-4</v>
      </c>
      <c r="H161">
        <v>1139</v>
      </c>
      <c r="I161">
        <v>5.2677787532923598E-3</v>
      </c>
      <c r="J161">
        <v>5.6792167290175199E-3</v>
      </c>
      <c r="K161">
        <v>2</v>
      </c>
      <c r="L161">
        <v>5.3908355795148296E-4</v>
      </c>
      <c r="M161">
        <v>4.9504950495049497E-3</v>
      </c>
      <c r="N161">
        <v>5.4895786074564299E-3</v>
      </c>
      <c r="O161">
        <f t="shared" si="4"/>
        <v>1.791759469228055</v>
      </c>
      <c r="P161">
        <f t="shared" si="5"/>
        <v>0.69314718055994529</v>
      </c>
    </row>
    <row r="162" spans="1:16" x14ac:dyDescent="0.25">
      <c r="A162">
        <v>26</v>
      </c>
      <c r="B162">
        <v>32</v>
      </c>
      <c r="C162" t="s">
        <v>23</v>
      </c>
      <c r="D162" t="s">
        <v>31</v>
      </c>
      <c r="E162">
        <v>8</v>
      </c>
      <c r="F162">
        <v>2358</v>
      </c>
      <c r="G162">
        <v>3.3927056827820199E-3</v>
      </c>
      <c r="H162">
        <v>3924</v>
      </c>
      <c r="I162">
        <v>2.0387359836901101E-3</v>
      </c>
      <c r="J162">
        <v>5.4314416664721296E-3</v>
      </c>
      <c r="K162">
        <v>3</v>
      </c>
      <c r="L162">
        <v>4.9019607843137298E-3</v>
      </c>
      <c r="M162">
        <v>1.5608740894901101E-3</v>
      </c>
      <c r="N162">
        <v>6.4628348738038398E-3</v>
      </c>
      <c r="O162">
        <f t="shared" si="4"/>
        <v>2.0794415416798357</v>
      </c>
      <c r="P162">
        <f t="shared" si="5"/>
        <v>1.0986122886681098</v>
      </c>
    </row>
    <row r="163" spans="1:16" x14ac:dyDescent="0.25">
      <c r="A163">
        <v>144</v>
      </c>
      <c r="B163">
        <v>105</v>
      </c>
      <c r="C163" t="s">
        <v>32</v>
      </c>
      <c r="D163" t="s">
        <v>22</v>
      </c>
      <c r="E163">
        <v>5</v>
      </c>
      <c r="F163">
        <v>6729</v>
      </c>
      <c r="G163">
        <v>7.4305245950364099E-4</v>
      </c>
      <c r="H163">
        <v>1139</v>
      </c>
      <c r="I163">
        <v>4.3898156277436297E-3</v>
      </c>
      <c r="J163">
        <v>5.1328680872472802E-3</v>
      </c>
      <c r="O163">
        <f t="shared" si="4"/>
        <v>1.6094379124341003</v>
      </c>
    </row>
    <row r="164" spans="1:16" x14ac:dyDescent="0.25">
      <c r="A164">
        <v>79</v>
      </c>
      <c r="B164">
        <v>168</v>
      </c>
      <c r="C164" t="s">
        <v>47</v>
      </c>
      <c r="D164" t="s">
        <v>28</v>
      </c>
      <c r="E164">
        <v>2</v>
      </c>
      <c r="F164">
        <v>1165</v>
      </c>
      <c r="G164">
        <v>1.71673819742489E-3</v>
      </c>
      <c r="H164">
        <v>586</v>
      </c>
      <c r="I164">
        <v>3.4129692832764501E-3</v>
      </c>
      <c r="J164">
        <v>5.1297074807013397E-3</v>
      </c>
      <c r="O164">
        <f t="shared" si="4"/>
        <v>0.69314718055994529</v>
      </c>
    </row>
    <row r="165" spans="1:16" x14ac:dyDescent="0.25">
      <c r="A165">
        <v>196</v>
      </c>
      <c r="B165">
        <v>150</v>
      </c>
      <c r="C165" t="s">
        <v>42</v>
      </c>
      <c r="D165" t="s">
        <v>35</v>
      </c>
      <c r="E165">
        <v>1</v>
      </c>
      <c r="F165">
        <v>214</v>
      </c>
      <c r="G165">
        <v>4.6728971962616802E-3</v>
      </c>
      <c r="H165">
        <v>2533</v>
      </c>
      <c r="I165">
        <v>3.9478878799842099E-4</v>
      </c>
      <c r="J165">
        <v>5.0676859842601002E-3</v>
      </c>
      <c r="O165">
        <f t="shared" si="4"/>
        <v>0</v>
      </c>
    </row>
    <row r="166" spans="1:16" x14ac:dyDescent="0.25">
      <c r="A166">
        <v>162</v>
      </c>
      <c r="B166">
        <v>56</v>
      </c>
      <c r="C166" t="s">
        <v>34</v>
      </c>
      <c r="D166" t="s">
        <v>21</v>
      </c>
      <c r="E166">
        <v>10</v>
      </c>
      <c r="F166">
        <v>2458</v>
      </c>
      <c r="G166">
        <v>4.0683482506102498E-3</v>
      </c>
      <c r="H166">
        <v>13644</v>
      </c>
      <c r="I166">
        <v>7.3292289651128697E-4</v>
      </c>
      <c r="J166">
        <v>4.80127114712154E-3</v>
      </c>
      <c r="K166">
        <v>2</v>
      </c>
      <c r="L166">
        <v>2.2988505747126398E-2</v>
      </c>
      <c r="M166">
        <v>5.8309037900874602E-4</v>
      </c>
      <c r="N166">
        <v>2.35715961261352E-2</v>
      </c>
      <c r="O166">
        <f t="shared" si="4"/>
        <v>2.3025850929940459</v>
      </c>
      <c r="P166">
        <f t="shared" si="5"/>
        <v>0.69314718055994529</v>
      </c>
    </row>
    <row r="167" spans="1:16" x14ac:dyDescent="0.25">
      <c r="A167">
        <v>141</v>
      </c>
      <c r="B167">
        <v>124</v>
      </c>
      <c r="C167" t="s">
        <v>32</v>
      </c>
      <c r="D167" t="s">
        <v>29</v>
      </c>
      <c r="E167">
        <v>14</v>
      </c>
      <c r="F167">
        <v>6729</v>
      </c>
      <c r="G167">
        <v>2.0805468866101902E-3</v>
      </c>
      <c r="H167">
        <v>5305</v>
      </c>
      <c r="I167">
        <v>2.6390197926484402E-3</v>
      </c>
      <c r="J167">
        <v>4.7195666792586403E-3</v>
      </c>
      <c r="K167">
        <v>3</v>
      </c>
      <c r="L167">
        <v>4.0268456375838896E-3</v>
      </c>
      <c r="M167">
        <v>2.5531914893616998E-3</v>
      </c>
      <c r="N167">
        <v>6.5800371269456003E-3</v>
      </c>
      <c r="O167">
        <f t="shared" si="4"/>
        <v>2.6390573296152584</v>
      </c>
      <c r="P167">
        <f t="shared" si="5"/>
        <v>1.0986122886681098</v>
      </c>
    </row>
    <row r="168" spans="1:16" x14ac:dyDescent="0.25">
      <c r="A168">
        <v>124</v>
      </c>
      <c r="B168">
        <v>31</v>
      </c>
      <c r="C168" t="s">
        <v>29</v>
      </c>
      <c r="D168" t="s">
        <v>31</v>
      </c>
      <c r="E168">
        <v>10</v>
      </c>
      <c r="F168">
        <v>4655</v>
      </c>
      <c r="G168">
        <v>2.14822771213749E-3</v>
      </c>
      <c r="H168">
        <v>3924</v>
      </c>
      <c r="I168">
        <v>2.5484199796126398E-3</v>
      </c>
      <c r="J168">
        <v>4.6966476917501302E-3</v>
      </c>
      <c r="K168">
        <v>5</v>
      </c>
      <c r="L168">
        <v>4.9067713444553504E-3</v>
      </c>
      <c r="M168">
        <v>2.6014568158168601E-3</v>
      </c>
      <c r="N168">
        <v>7.50822816027221E-3</v>
      </c>
      <c r="O168">
        <f t="shared" si="4"/>
        <v>2.3025850929940459</v>
      </c>
      <c r="P168">
        <f t="shared" si="5"/>
        <v>1.6094379124341003</v>
      </c>
    </row>
    <row r="169" spans="1:16" x14ac:dyDescent="0.25">
      <c r="A169">
        <v>152</v>
      </c>
      <c r="B169">
        <v>86</v>
      </c>
      <c r="C169" t="s">
        <v>32</v>
      </c>
      <c r="D169" t="s">
        <v>46</v>
      </c>
      <c r="E169">
        <v>1</v>
      </c>
      <c r="F169">
        <v>6729</v>
      </c>
      <c r="G169">
        <v>1.48610491900728E-4</v>
      </c>
      <c r="H169">
        <v>220</v>
      </c>
      <c r="I169">
        <v>4.5454545454545496E-3</v>
      </c>
      <c r="J169">
        <v>4.6940650373552698E-3</v>
      </c>
      <c r="O169">
        <f t="shared" si="4"/>
        <v>0</v>
      </c>
    </row>
    <row r="170" spans="1:16" x14ac:dyDescent="0.25">
      <c r="A170">
        <v>164</v>
      </c>
      <c r="B170">
        <v>94</v>
      </c>
      <c r="C170" t="s">
        <v>34</v>
      </c>
      <c r="D170" t="s">
        <v>40</v>
      </c>
      <c r="E170">
        <v>3</v>
      </c>
      <c r="F170">
        <v>2458</v>
      </c>
      <c r="G170">
        <v>1.22050447518308E-3</v>
      </c>
      <c r="H170">
        <v>879</v>
      </c>
      <c r="I170">
        <v>3.4129692832764501E-3</v>
      </c>
      <c r="J170">
        <v>4.6334737584595304E-3</v>
      </c>
      <c r="K170">
        <v>1</v>
      </c>
      <c r="L170">
        <v>1.1494252873563199E-2</v>
      </c>
      <c r="M170">
        <v>3.7174721189591098E-3</v>
      </c>
      <c r="N170">
        <v>1.52117249925223E-2</v>
      </c>
      <c r="O170">
        <f t="shared" si="4"/>
        <v>1.0986122886681098</v>
      </c>
      <c r="P170">
        <f t="shared" si="5"/>
        <v>0</v>
      </c>
    </row>
    <row r="171" spans="1:16" x14ac:dyDescent="0.25">
      <c r="A171">
        <v>5</v>
      </c>
      <c r="B171">
        <v>180</v>
      </c>
      <c r="C171" t="s">
        <v>18</v>
      </c>
      <c r="D171" t="s">
        <v>33</v>
      </c>
      <c r="E171">
        <v>1</v>
      </c>
      <c r="F171">
        <v>228</v>
      </c>
      <c r="G171">
        <v>4.3859649122806998E-3</v>
      </c>
      <c r="H171">
        <v>4779</v>
      </c>
      <c r="I171">
        <v>2.09248796819418E-4</v>
      </c>
      <c r="J171">
        <v>4.5952137091001197E-3</v>
      </c>
      <c r="O171">
        <f t="shared" si="4"/>
        <v>0</v>
      </c>
    </row>
    <row r="172" spans="1:16" x14ac:dyDescent="0.25">
      <c r="A172">
        <v>63</v>
      </c>
      <c r="B172">
        <v>160</v>
      </c>
      <c r="C172" t="s">
        <v>20</v>
      </c>
      <c r="D172" t="s">
        <v>19</v>
      </c>
      <c r="E172">
        <v>1</v>
      </c>
      <c r="F172">
        <v>14583</v>
      </c>
      <c r="G172" s="1">
        <v>6.8572995954193202E-5</v>
      </c>
      <c r="H172">
        <v>228</v>
      </c>
      <c r="I172">
        <v>4.3859649122806998E-3</v>
      </c>
      <c r="J172">
        <v>4.4545379082349002E-3</v>
      </c>
      <c r="O172">
        <f t="shared" si="4"/>
        <v>0</v>
      </c>
    </row>
    <row r="173" spans="1:16" x14ac:dyDescent="0.25">
      <c r="A173">
        <v>112</v>
      </c>
      <c r="B173">
        <v>130</v>
      </c>
      <c r="C173" t="s">
        <v>22</v>
      </c>
      <c r="D173" t="s">
        <v>29</v>
      </c>
      <c r="E173">
        <v>4</v>
      </c>
      <c r="F173">
        <v>1218</v>
      </c>
      <c r="G173">
        <v>3.28407224958949E-3</v>
      </c>
      <c r="H173">
        <v>5305</v>
      </c>
      <c r="I173">
        <v>7.5400565504241297E-4</v>
      </c>
      <c r="J173">
        <v>4.0380779046318999E-3</v>
      </c>
      <c r="K173">
        <v>1</v>
      </c>
      <c r="L173">
        <v>2.3041474654377902E-3</v>
      </c>
      <c r="M173">
        <v>8.5106382978723403E-4</v>
      </c>
      <c r="N173">
        <v>3.15521129522502E-3</v>
      </c>
      <c r="O173">
        <f t="shared" si="4"/>
        <v>1.3862943611198906</v>
      </c>
      <c r="P173">
        <f t="shared" si="5"/>
        <v>0</v>
      </c>
    </row>
    <row r="174" spans="1:16" x14ac:dyDescent="0.25">
      <c r="A174">
        <v>77</v>
      </c>
      <c r="B174">
        <v>58</v>
      </c>
      <c r="C174" t="s">
        <v>47</v>
      </c>
      <c r="D174" t="s">
        <v>21</v>
      </c>
      <c r="E174">
        <v>4</v>
      </c>
      <c r="F174">
        <v>1165</v>
      </c>
      <c r="G174">
        <v>3.43347639484979E-3</v>
      </c>
      <c r="H174">
        <v>13644</v>
      </c>
      <c r="I174">
        <v>2.9316915860451502E-4</v>
      </c>
      <c r="J174">
        <v>3.7266455534543E-3</v>
      </c>
      <c r="K174">
        <v>1</v>
      </c>
      <c r="L174">
        <v>3.1055900621118002E-3</v>
      </c>
      <c r="M174">
        <v>2.9154518950437301E-4</v>
      </c>
      <c r="N174">
        <v>3.3971352516161701E-3</v>
      </c>
      <c r="O174">
        <f t="shared" si="4"/>
        <v>1.3862943611198906</v>
      </c>
      <c r="P174">
        <f t="shared" si="5"/>
        <v>0</v>
      </c>
    </row>
    <row r="175" spans="1:16" x14ac:dyDescent="0.25">
      <c r="A175">
        <v>180</v>
      </c>
      <c r="B175">
        <v>178</v>
      </c>
      <c r="C175" t="s">
        <v>39</v>
      </c>
      <c r="D175" t="s">
        <v>33</v>
      </c>
      <c r="E175">
        <v>2</v>
      </c>
      <c r="F175">
        <v>623</v>
      </c>
      <c r="G175">
        <v>3.2102728731942202E-3</v>
      </c>
      <c r="H175">
        <v>4779</v>
      </c>
      <c r="I175">
        <v>4.1849759363883702E-4</v>
      </c>
      <c r="J175">
        <v>3.62877046683306E-3</v>
      </c>
      <c r="K175">
        <v>1</v>
      </c>
      <c r="L175">
        <v>5.9880239520958096E-3</v>
      </c>
      <c r="M175">
        <v>1.67224080267559E-3</v>
      </c>
      <c r="N175">
        <v>7.6602647547713903E-3</v>
      </c>
      <c r="O175">
        <f t="shared" si="4"/>
        <v>0.69314718055994529</v>
      </c>
      <c r="P175">
        <f t="shared" si="5"/>
        <v>0</v>
      </c>
    </row>
    <row r="176" spans="1:16" x14ac:dyDescent="0.25">
      <c r="A176">
        <v>57</v>
      </c>
      <c r="B176">
        <v>38</v>
      </c>
      <c r="C176" t="s">
        <v>20</v>
      </c>
      <c r="D176" t="s">
        <v>24</v>
      </c>
      <c r="E176">
        <v>7</v>
      </c>
      <c r="F176">
        <v>14583</v>
      </c>
      <c r="G176">
        <v>4.8001097167935298E-4</v>
      </c>
      <c r="H176">
        <v>2287</v>
      </c>
      <c r="I176">
        <v>3.0607783121993901E-3</v>
      </c>
      <c r="J176">
        <v>3.5407892838787399E-3</v>
      </c>
      <c r="K176">
        <v>2</v>
      </c>
      <c r="L176">
        <v>5.3908355795148296E-4</v>
      </c>
      <c r="M176">
        <v>3.3057851239669399E-3</v>
      </c>
      <c r="N176">
        <v>3.8448686819184202E-3</v>
      </c>
      <c r="O176">
        <f t="shared" si="4"/>
        <v>1.9459101490553132</v>
      </c>
      <c r="P176">
        <f t="shared" si="5"/>
        <v>0.69314718055994529</v>
      </c>
    </row>
    <row r="177" spans="1:16" x14ac:dyDescent="0.25">
      <c r="A177">
        <v>12</v>
      </c>
      <c r="B177">
        <v>55</v>
      </c>
      <c r="C177" t="s">
        <v>30</v>
      </c>
      <c r="D177" t="s">
        <v>21</v>
      </c>
      <c r="E177">
        <v>12</v>
      </c>
      <c r="F177">
        <v>4705</v>
      </c>
      <c r="G177">
        <v>2.5504782146652501E-3</v>
      </c>
      <c r="H177">
        <v>13644</v>
      </c>
      <c r="I177">
        <v>8.7950747581354402E-4</v>
      </c>
      <c r="J177">
        <v>3.42998569047879E-3</v>
      </c>
      <c r="K177">
        <v>5</v>
      </c>
      <c r="L177">
        <v>2.1394950791613198E-3</v>
      </c>
      <c r="M177">
        <v>1.45772594752187E-3</v>
      </c>
      <c r="N177">
        <v>3.5972210266831798E-3</v>
      </c>
      <c r="O177">
        <f t="shared" si="4"/>
        <v>2.4849066497880004</v>
      </c>
      <c r="P177">
        <f t="shared" si="5"/>
        <v>1.6094379124341003</v>
      </c>
    </row>
    <row r="178" spans="1:16" x14ac:dyDescent="0.25">
      <c r="A178">
        <v>189</v>
      </c>
      <c r="B178">
        <v>63</v>
      </c>
      <c r="C178" t="s">
        <v>27</v>
      </c>
      <c r="D178" t="s">
        <v>21</v>
      </c>
      <c r="E178">
        <v>2</v>
      </c>
      <c r="F178">
        <v>614</v>
      </c>
      <c r="G178">
        <v>3.2573289902280101E-3</v>
      </c>
      <c r="H178">
        <v>13644</v>
      </c>
      <c r="I178">
        <v>1.4658457930225699E-4</v>
      </c>
      <c r="J178">
        <v>3.4039135695302699E-3</v>
      </c>
      <c r="K178">
        <v>1</v>
      </c>
      <c r="L178">
        <v>3.9370078740157497E-3</v>
      </c>
      <c r="M178">
        <v>2.9154518950437301E-4</v>
      </c>
      <c r="N178">
        <v>4.2285530635201201E-3</v>
      </c>
      <c r="O178">
        <f t="shared" si="4"/>
        <v>0.69314718055994529</v>
      </c>
      <c r="P178">
        <f t="shared" si="5"/>
        <v>0</v>
      </c>
    </row>
    <row r="179" spans="1:16" x14ac:dyDescent="0.25">
      <c r="A179">
        <v>17</v>
      </c>
      <c r="B179">
        <v>40</v>
      </c>
      <c r="C179" t="s">
        <v>30</v>
      </c>
      <c r="D179" t="s">
        <v>24</v>
      </c>
      <c r="E179">
        <v>5</v>
      </c>
      <c r="F179">
        <v>4705</v>
      </c>
      <c r="G179">
        <v>1.06269925611052E-3</v>
      </c>
      <c r="H179">
        <v>2287</v>
      </c>
      <c r="I179">
        <v>2.1862702229995599E-3</v>
      </c>
      <c r="J179">
        <v>3.2489694791100802E-3</v>
      </c>
      <c r="K179">
        <v>4</v>
      </c>
      <c r="L179">
        <v>1.71159606332905E-3</v>
      </c>
      <c r="M179">
        <v>6.6115702479338798E-3</v>
      </c>
      <c r="N179">
        <v>8.3231663112629407E-3</v>
      </c>
      <c r="O179">
        <f t="shared" si="4"/>
        <v>1.6094379124341003</v>
      </c>
      <c r="P179">
        <f t="shared" si="5"/>
        <v>1.3862943611198906</v>
      </c>
    </row>
    <row r="180" spans="1:16" x14ac:dyDescent="0.25">
      <c r="A180">
        <v>16</v>
      </c>
      <c r="B180">
        <v>125</v>
      </c>
      <c r="C180" t="s">
        <v>30</v>
      </c>
      <c r="D180" t="s">
        <v>29</v>
      </c>
      <c r="E180">
        <v>8</v>
      </c>
      <c r="F180">
        <v>4705</v>
      </c>
      <c r="G180">
        <v>1.7003188097768299E-3</v>
      </c>
      <c r="H180">
        <v>5305</v>
      </c>
      <c r="I180">
        <v>1.5080113100848301E-3</v>
      </c>
      <c r="J180">
        <v>3.2083301198616602E-3</v>
      </c>
      <c r="K180">
        <v>4</v>
      </c>
      <c r="L180">
        <v>1.71159606332905E-3</v>
      </c>
      <c r="M180">
        <v>3.40425531914894E-3</v>
      </c>
      <c r="N180">
        <v>5.1158513824779896E-3</v>
      </c>
      <c r="O180">
        <f t="shared" si="4"/>
        <v>2.0794415416798357</v>
      </c>
      <c r="P180">
        <f t="shared" si="5"/>
        <v>1.3862943611198906</v>
      </c>
    </row>
    <row r="181" spans="1:16" x14ac:dyDescent="0.25">
      <c r="A181">
        <v>28</v>
      </c>
      <c r="B181">
        <v>173</v>
      </c>
      <c r="C181" t="s">
        <v>23</v>
      </c>
      <c r="D181" t="s">
        <v>33</v>
      </c>
      <c r="E181">
        <v>5</v>
      </c>
      <c r="F181">
        <v>2358</v>
      </c>
      <c r="G181">
        <v>2.1204410517387598E-3</v>
      </c>
      <c r="H181">
        <v>4779</v>
      </c>
      <c r="I181">
        <v>1.0462439840970899E-3</v>
      </c>
      <c r="J181">
        <v>3.1666850358358502E-3</v>
      </c>
      <c r="K181">
        <v>1</v>
      </c>
      <c r="L181">
        <v>1.63398692810458E-3</v>
      </c>
      <c r="M181">
        <v>1.67224080267559E-3</v>
      </c>
      <c r="N181">
        <v>3.30622773078016E-3</v>
      </c>
      <c r="O181">
        <f t="shared" si="4"/>
        <v>1.6094379124341003</v>
      </c>
      <c r="P181">
        <f t="shared" si="5"/>
        <v>0</v>
      </c>
    </row>
    <row r="182" spans="1:16" x14ac:dyDescent="0.25">
      <c r="A182">
        <v>32</v>
      </c>
      <c r="B182">
        <v>96</v>
      </c>
      <c r="C182" t="s">
        <v>23</v>
      </c>
      <c r="D182" t="s">
        <v>40</v>
      </c>
      <c r="E182">
        <v>2</v>
      </c>
      <c r="F182">
        <v>2358</v>
      </c>
      <c r="G182">
        <v>8.4817642069550498E-4</v>
      </c>
      <c r="H182">
        <v>879</v>
      </c>
      <c r="I182">
        <v>2.2753128555176301E-3</v>
      </c>
      <c r="J182">
        <v>3.1234892762131402E-3</v>
      </c>
      <c r="K182">
        <v>1</v>
      </c>
      <c r="L182">
        <v>1.63398692810458E-3</v>
      </c>
      <c r="M182">
        <v>3.7174721189591098E-3</v>
      </c>
      <c r="N182">
        <v>5.3514590470636796E-3</v>
      </c>
      <c r="O182">
        <f t="shared" si="4"/>
        <v>0.69314718055994529</v>
      </c>
      <c r="P182">
        <f t="shared" si="5"/>
        <v>0</v>
      </c>
    </row>
    <row r="183" spans="1:16" x14ac:dyDescent="0.25">
      <c r="A183">
        <v>114</v>
      </c>
      <c r="B183">
        <v>61</v>
      </c>
      <c r="C183" t="s">
        <v>22</v>
      </c>
      <c r="D183" t="s">
        <v>21</v>
      </c>
      <c r="E183">
        <v>3</v>
      </c>
      <c r="F183">
        <v>1218</v>
      </c>
      <c r="G183">
        <v>2.46305418719212E-3</v>
      </c>
      <c r="H183">
        <v>13644</v>
      </c>
      <c r="I183">
        <v>2.1987686895338601E-4</v>
      </c>
      <c r="J183">
        <v>2.6829310561455001E-3</v>
      </c>
      <c r="K183">
        <v>1</v>
      </c>
      <c r="L183">
        <v>2.3041474654377902E-3</v>
      </c>
      <c r="M183">
        <v>2.9154518950437301E-4</v>
      </c>
      <c r="N183">
        <v>2.5956926549421601E-3</v>
      </c>
      <c r="O183">
        <f t="shared" si="4"/>
        <v>1.0986122886681098</v>
      </c>
      <c r="P183">
        <f t="shared" si="5"/>
        <v>0</v>
      </c>
    </row>
    <row r="184" spans="1:16" x14ac:dyDescent="0.25">
      <c r="A184">
        <v>116</v>
      </c>
      <c r="B184">
        <v>177</v>
      </c>
      <c r="C184" t="s">
        <v>22</v>
      </c>
      <c r="D184" t="s">
        <v>33</v>
      </c>
      <c r="E184">
        <v>2</v>
      </c>
      <c r="F184">
        <v>1218</v>
      </c>
      <c r="G184">
        <v>1.64203612479475E-3</v>
      </c>
      <c r="H184">
        <v>4779</v>
      </c>
      <c r="I184">
        <v>4.1849759363883702E-4</v>
      </c>
      <c r="J184">
        <v>2.0605337184335798E-3</v>
      </c>
      <c r="O184">
        <f t="shared" si="4"/>
        <v>0.69314718055994529</v>
      </c>
    </row>
    <row r="185" spans="1:16" x14ac:dyDescent="0.25">
      <c r="A185">
        <v>190</v>
      </c>
      <c r="B185">
        <v>149</v>
      </c>
      <c r="C185" t="s">
        <v>27</v>
      </c>
      <c r="D185" t="s">
        <v>35</v>
      </c>
      <c r="E185">
        <v>1</v>
      </c>
      <c r="F185">
        <v>614</v>
      </c>
      <c r="G185">
        <v>1.6286644951140101E-3</v>
      </c>
      <c r="H185">
        <v>2533</v>
      </c>
      <c r="I185">
        <v>3.9478878799842099E-4</v>
      </c>
      <c r="J185">
        <v>2.0234532831124299E-3</v>
      </c>
      <c r="O185">
        <f t="shared" si="4"/>
        <v>0</v>
      </c>
    </row>
    <row r="186" spans="1:16" x14ac:dyDescent="0.25">
      <c r="A186">
        <v>80</v>
      </c>
      <c r="B186">
        <v>97</v>
      </c>
      <c r="C186" t="s">
        <v>47</v>
      </c>
      <c r="D186" t="s">
        <v>40</v>
      </c>
      <c r="E186">
        <v>1</v>
      </c>
      <c r="F186">
        <v>1165</v>
      </c>
      <c r="G186">
        <v>8.5836909871244598E-4</v>
      </c>
      <c r="H186">
        <v>879</v>
      </c>
      <c r="I186">
        <v>1.13765642775882E-3</v>
      </c>
      <c r="J186">
        <v>1.99602552647126E-3</v>
      </c>
      <c r="O186">
        <f t="shared" si="4"/>
        <v>0</v>
      </c>
    </row>
    <row r="187" spans="1:16" x14ac:dyDescent="0.25">
      <c r="A187">
        <v>181</v>
      </c>
      <c r="B187">
        <v>34</v>
      </c>
      <c r="C187" t="s">
        <v>39</v>
      </c>
      <c r="D187" t="s">
        <v>31</v>
      </c>
      <c r="E187">
        <v>1</v>
      </c>
      <c r="F187">
        <v>623</v>
      </c>
      <c r="G187">
        <v>1.6051364365971101E-3</v>
      </c>
      <c r="H187">
        <v>3924</v>
      </c>
      <c r="I187">
        <v>2.5484199796126398E-4</v>
      </c>
      <c r="J187">
        <v>1.85997843455837E-3</v>
      </c>
      <c r="O187">
        <f t="shared" si="4"/>
        <v>0</v>
      </c>
    </row>
    <row r="188" spans="1:16" x14ac:dyDescent="0.25">
      <c r="A188">
        <v>191</v>
      </c>
      <c r="B188">
        <v>182</v>
      </c>
      <c r="C188" t="s">
        <v>27</v>
      </c>
      <c r="D188" t="s">
        <v>33</v>
      </c>
      <c r="E188">
        <v>1</v>
      </c>
      <c r="F188">
        <v>614</v>
      </c>
      <c r="G188">
        <v>1.6286644951140101E-3</v>
      </c>
      <c r="H188">
        <v>4779</v>
      </c>
      <c r="I188">
        <v>2.09248796819418E-4</v>
      </c>
      <c r="J188">
        <v>1.83791329193342E-3</v>
      </c>
      <c r="K188">
        <v>1</v>
      </c>
      <c r="L188">
        <v>3.9370078740157497E-3</v>
      </c>
      <c r="M188">
        <v>1.67224080267559E-3</v>
      </c>
      <c r="N188">
        <v>5.6092486766913304E-3</v>
      </c>
      <c r="O188">
        <f t="shared" si="4"/>
        <v>0</v>
      </c>
      <c r="P188">
        <f t="shared" si="5"/>
        <v>0</v>
      </c>
    </row>
    <row r="189" spans="1:16" x14ac:dyDescent="0.25">
      <c r="A189">
        <v>151</v>
      </c>
      <c r="B189">
        <v>26</v>
      </c>
      <c r="C189" t="s">
        <v>32</v>
      </c>
      <c r="D189" t="s">
        <v>48</v>
      </c>
      <c r="E189">
        <v>1</v>
      </c>
      <c r="F189">
        <v>6729</v>
      </c>
      <c r="G189">
        <v>1.48610491900728E-4</v>
      </c>
      <c r="H189">
        <v>636</v>
      </c>
      <c r="I189">
        <v>1.5723270440251599E-3</v>
      </c>
      <c r="J189">
        <v>1.7209375359258899E-3</v>
      </c>
      <c r="O189">
        <f t="shared" si="4"/>
        <v>0</v>
      </c>
    </row>
    <row r="190" spans="1:16" x14ac:dyDescent="0.25">
      <c r="A190">
        <v>136</v>
      </c>
      <c r="B190">
        <v>98</v>
      </c>
      <c r="C190" t="s">
        <v>29</v>
      </c>
      <c r="D190" t="s">
        <v>40</v>
      </c>
      <c r="E190">
        <v>1</v>
      </c>
      <c r="F190">
        <v>4655</v>
      </c>
      <c r="G190">
        <v>2.1482277121374899E-4</v>
      </c>
      <c r="H190">
        <v>879</v>
      </c>
      <c r="I190">
        <v>1.13765642775882E-3</v>
      </c>
      <c r="J190">
        <v>1.3524791989725699E-3</v>
      </c>
      <c r="O190">
        <f t="shared" si="4"/>
        <v>0</v>
      </c>
    </row>
    <row r="191" spans="1:16" x14ac:dyDescent="0.25">
      <c r="A191">
        <v>134</v>
      </c>
      <c r="B191">
        <v>41</v>
      </c>
      <c r="C191" t="s">
        <v>29</v>
      </c>
      <c r="D191" t="s">
        <v>24</v>
      </c>
      <c r="E191">
        <v>2</v>
      </c>
      <c r="F191">
        <v>4655</v>
      </c>
      <c r="G191">
        <v>4.29645542427497E-4</v>
      </c>
      <c r="H191">
        <v>2287</v>
      </c>
      <c r="I191">
        <v>8.7450808919982501E-4</v>
      </c>
      <c r="J191">
        <v>1.3041536316273201E-3</v>
      </c>
      <c r="K191">
        <v>1</v>
      </c>
      <c r="L191">
        <v>9.8135426889107004E-4</v>
      </c>
      <c r="M191">
        <v>1.6528925619834699E-3</v>
      </c>
      <c r="N191">
        <v>2.63424683087454E-3</v>
      </c>
      <c r="O191">
        <f t="shared" si="4"/>
        <v>0.69314718055994529</v>
      </c>
      <c r="P191">
        <f t="shared" si="5"/>
        <v>0</v>
      </c>
    </row>
    <row r="192" spans="1:16" x14ac:dyDescent="0.25">
      <c r="A192">
        <v>132</v>
      </c>
      <c r="B192">
        <v>176</v>
      </c>
      <c r="C192" t="s">
        <v>29</v>
      </c>
      <c r="D192" t="s">
        <v>33</v>
      </c>
      <c r="E192">
        <v>3</v>
      </c>
      <c r="F192">
        <v>4655</v>
      </c>
      <c r="G192">
        <v>6.4446831364124604E-4</v>
      </c>
      <c r="H192">
        <v>4779</v>
      </c>
      <c r="I192">
        <v>6.2774639045825502E-4</v>
      </c>
      <c r="J192">
        <v>1.2722147040995001E-3</v>
      </c>
      <c r="K192">
        <v>1</v>
      </c>
      <c r="L192">
        <v>9.8135426889107004E-4</v>
      </c>
      <c r="M192">
        <v>1.67224080267559E-3</v>
      </c>
      <c r="N192">
        <v>2.6535950715666501E-3</v>
      </c>
      <c r="O192">
        <f t="shared" si="4"/>
        <v>1.0986122886681098</v>
      </c>
      <c r="P192">
        <f t="shared" si="5"/>
        <v>0</v>
      </c>
    </row>
    <row r="193" spans="1:15" x14ac:dyDescent="0.25">
      <c r="A193">
        <v>118</v>
      </c>
      <c r="B193">
        <v>148</v>
      </c>
      <c r="C193" t="s">
        <v>22</v>
      </c>
      <c r="D193" t="s">
        <v>35</v>
      </c>
      <c r="E193">
        <v>1</v>
      </c>
      <c r="F193">
        <v>1218</v>
      </c>
      <c r="G193">
        <v>8.2101806239737304E-4</v>
      </c>
      <c r="H193">
        <v>2533</v>
      </c>
      <c r="I193">
        <v>3.9478878799842099E-4</v>
      </c>
      <c r="J193">
        <v>1.2158068503957901E-3</v>
      </c>
      <c r="O193">
        <f t="shared" si="4"/>
        <v>0</v>
      </c>
    </row>
    <row r="194" spans="1:15" x14ac:dyDescent="0.25">
      <c r="A194">
        <v>146</v>
      </c>
      <c r="B194">
        <v>33</v>
      </c>
      <c r="C194" t="s">
        <v>32</v>
      </c>
      <c r="D194" t="s">
        <v>31</v>
      </c>
      <c r="E194">
        <v>3</v>
      </c>
      <c r="F194">
        <v>6729</v>
      </c>
      <c r="G194">
        <v>4.4583147570218499E-4</v>
      </c>
      <c r="H194">
        <v>3924</v>
      </c>
      <c r="I194">
        <v>7.6452599388379195E-4</v>
      </c>
      <c r="J194">
        <v>1.2103574695859799E-3</v>
      </c>
      <c r="O194">
        <f t="shared" si="4"/>
        <v>1.0986122886681098</v>
      </c>
    </row>
    <row r="195" spans="1:15" x14ac:dyDescent="0.25">
      <c r="A195">
        <v>60</v>
      </c>
      <c r="B195">
        <v>174</v>
      </c>
      <c r="C195" t="s">
        <v>20</v>
      </c>
      <c r="D195" t="s">
        <v>33</v>
      </c>
      <c r="E195">
        <v>4</v>
      </c>
      <c r="F195">
        <v>14583</v>
      </c>
      <c r="G195">
        <v>2.7429198381677302E-4</v>
      </c>
      <c r="H195">
        <v>4779</v>
      </c>
      <c r="I195">
        <v>8.3699518727767296E-4</v>
      </c>
      <c r="J195">
        <v>1.1112871710944501E-3</v>
      </c>
      <c r="O195">
        <f t="shared" ref="O195:O197" si="6">LN(E195)</f>
        <v>1.3862943611198906</v>
      </c>
    </row>
    <row r="196" spans="1:15" x14ac:dyDescent="0.25">
      <c r="A196">
        <v>145</v>
      </c>
      <c r="B196">
        <v>59</v>
      </c>
      <c r="C196" t="s">
        <v>32</v>
      </c>
      <c r="D196" t="s">
        <v>21</v>
      </c>
      <c r="E196">
        <v>4</v>
      </c>
      <c r="F196">
        <v>6729</v>
      </c>
      <c r="G196">
        <v>5.9444196760291296E-4</v>
      </c>
      <c r="H196">
        <v>13644</v>
      </c>
      <c r="I196">
        <v>2.9316915860451502E-4</v>
      </c>
      <c r="J196">
        <v>8.8761112620742695E-4</v>
      </c>
      <c r="O196">
        <f t="shared" si="6"/>
        <v>1.3862943611198906</v>
      </c>
    </row>
    <row r="197" spans="1:15" x14ac:dyDescent="0.25">
      <c r="A197">
        <v>168</v>
      </c>
      <c r="B197">
        <v>181</v>
      </c>
      <c r="C197" t="s">
        <v>34</v>
      </c>
      <c r="D197" t="s">
        <v>33</v>
      </c>
      <c r="E197">
        <v>1</v>
      </c>
      <c r="F197">
        <v>2458</v>
      </c>
      <c r="G197">
        <v>4.06834825061025E-4</v>
      </c>
      <c r="H197">
        <v>4779</v>
      </c>
      <c r="I197">
        <v>2.09248796819418E-4</v>
      </c>
      <c r="J197">
        <v>6.1608362188044397E-4</v>
      </c>
      <c r="O197">
        <f t="shared" si="6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E53-CB10-48D5-A357-994B56E27C28}">
  <dimension ref="A1:Q197"/>
  <sheetViews>
    <sheetView tabSelected="1" workbookViewId="0">
      <pane ySplit="1" topLeftCell="A2" activePane="bottomLeft" state="frozen"/>
      <selection pane="bottomLeft" activeCell="A153" sqref="A153:XFD153"/>
    </sheetView>
  </sheetViews>
  <sheetFormatPr defaultRowHeight="15" x14ac:dyDescent="0.25"/>
  <cols>
    <col min="3" max="3" width="46" customWidth="1"/>
    <col min="4" max="4" width="53.5703125" customWidth="1"/>
    <col min="5" max="5" width="21" customWidth="1"/>
    <col min="13" max="15" width="13.28515625" bestFit="1" customWidth="1"/>
  </cols>
  <sheetData>
    <row r="1" spans="1:17" s="5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60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/>
      <c r="Q1" s="9"/>
    </row>
    <row r="2" spans="1:17" s="3" customFormat="1" x14ac:dyDescent="0.25">
      <c r="A2" s="5">
        <v>1</v>
      </c>
      <c r="B2" s="5">
        <v>157</v>
      </c>
      <c r="C2" s="5" t="s">
        <v>18</v>
      </c>
      <c r="D2" s="5" t="s">
        <v>19</v>
      </c>
      <c r="E2" s="5"/>
      <c r="F2" s="5">
        <v>220</v>
      </c>
      <c r="G2" s="5">
        <v>228</v>
      </c>
      <c r="H2" s="5">
        <v>0.96491228070175405</v>
      </c>
      <c r="I2" s="5">
        <v>228</v>
      </c>
      <c r="J2" s="5">
        <v>0.96491228070175405</v>
      </c>
      <c r="K2" s="5">
        <v>1.9298245614035101</v>
      </c>
      <c r="L2" s="5">
        <v>83</v>
      </c>
      <c r="M2" s="5">
        <v>0.97647058823529398</v>
      </c>
      <c r="N2" s="5">
        <v>0.96511627906976705</v>
      </c>
      <c r="O2" s="5">
        <v>1.94158686730506</v>
      </c>
      <c r="P2" s="5">
        <f>LN(F2)</f>
        <v>5.393627546352362</v>
      </c>
      <c r="Q2" s="5">
        <f>LN(L2)</f>
        <v>4.4188406077965983</v>
      </c>
    </row>
    <row r="3" spans="1:17" s="3" customFormat="1" x14ac:dyDescent="0.25">
      <c r="A3" s="5">
        <v>2</v>
      </c>
      <c r="B3" s="5">
        <v>106</v>
      </c>
      <c r="C3" s="5" t="s">
        <v>18</v>
      </c>
      <c r="D3" s="5" t="s">
        <v>22</v>
      </c>
      <c r="E3" s="5"/>
      <c r="F3" s="5">
        <v>3</v>
      </c>
      <c r="G3" s="5">
        <v>228</v>
      </c>
      <c r="H3" s="5">
        <v>1.3157894736842099E-2</v>
      </c>
      <c r="I3" s="5">
        <v>1139</v>
      </c>
      <c r="J3" s="5">
        <v>2.6338893766461799E-3</v>
      </c>
      <c r="K3" s="5">
        <v>1.5791784113488298E-2</v>
      </c>
      <c r="L3" s="5">
        <v>1</v>
      </c>
      <c r="M3" s="5">
        <v>1.1764705882352899E-2</v>
      </c>
      <c r="N3" s="5">
        <v>2.47524752475248E-3</v>
      </c>
      <c r="O3" s="5">
        <v>1.4239953407105399E-2</v>
      </c>
      <c r="P3" s="5">
        <f>LN(F3)</f>
        <v>1.0986122886681098</v>
      </c>
      <c r="Q3" s="5">
        <f>LN(L3)</f>
        <v>0</v>
      </c>
    </row>
    <row r="4" spans="1:17" s="3" customFormat="1" x14ac:dyDescent="0.25">
      <c r="A4" s="5">
        <v>3</v>
      </c>
      <c r="B4" s="5">
        <v>196</v>
      </c>
      <c r="C4" s="5" t="s">
        <v>18</v>
      </c>
      <c r="D4" s="5" t="s">
        <v>42</v>
      </c>
      <c r="E4" s="5"/>
      <c r="F4" s="5">
        <v>3</v>
      </c>
      <c r="G4" s="5">
        <v>228</v>
      </c>
      <c r="H4" s="5">
        <v>1.3157894736842099E-2</v>
      </c>
      <c r="I4" s="5">
        <v>3128</v>
      </c>
      <c r="J4" s="5">
        <v>9.5907928388746795E-4</v>
      </c>
      <c r="K4" s="5">
        <v>1.4116974020729599E-2</v>
      </c>
      <c r="L4" s="5">
        <v>1</v>
      </c>
      <c r="M4" s="5">
        <v>1.1764705882352899E-2</v>
      </c>
      <c r="N4" s="5">
        <v>2.1978021978022E-3</v>
      </c>
      <c r="O4" s="5">
        <v>1.39625080801551E-2</v>
      </c>
      <c r="P4" s="5">
        <f>LN(F4)</f>
        <v>1.0986122886681098</v>
      </c>
      <c r="Q4" s="5">
        <f>LN(L4)</f>
        <v>0</v>
      </c>
    </row>
    <row r="5" spans="1:17" s="3" customFormat="1" x14ac:dyDescent="0.25">
      <c r="A5" s="5">
        <v>4</v>
      </c>
      <c r="B5" s="5">
        <v>85</v>
      </c>
      <c r="C5" s="5" t="s">
        <v>18</v>
      </c>
      <c r="D5" s="5" t="s">
        <v>46</v>
      </c>
      <c r="E5" s="5"/>
      <c r="F5" s="5">
        <v>1</v>
      </c>
      <c r="G5" s="5">
        <v>228</v>
      </c>
      <c r="H5" s="5">
        <v>4.3859649122806998E-3</v>
      </c>
      <c r="I5" s="5">
        <v>220</v>
      </c>
      <c r="J5" s="5">
        <v>4.5454545454545496E-3</v>
      </c>
      <c r="K5" s="5">
        <v>8.9314194577352502E-3</v>
      </c>
      <c r="L5" s="5"/>
      <c r="M5" s="5"/>
      <c r="N5" s="5"/>
      <c r="O5" s="5"/>
      <c r="P5" s="5">
        <f>LN(F5)</f>
        <v>0</v>
      </c>
      <c r="Q5" s="5"/>
    </row>
    <row r="6" spans="1:17" s="3" customFormat="1" x14ac:dyDescent="0.25">
      <c r="A6" s="4">
        <v>5</v>
      </c>
      <c r="B6" s="4">
        <v>180</v>
      </c>
      <c r="C6" s="4" t="s">
        <v>18</v>
      </c>
      <c r="D6" s="4" t="s">
        <v>33</v>
      </c>
      <c r="E6" s="4" t="s">
        <v>61</v>
      </c>
      <c r="F6" s="4">
        <v>1</v>
      </c>
      <c r="G6" s="4">
        <v>228</v>
      </c>
      <c r="H6" s="4">
        <v>4.3859649122806998E-3</v>
      </c>
      <c r="I6" s="4">
        <v>4779</v>
      </c>
      <c r="J6" s="4">
        <v>2.09248796819418E-4</v>
      </c>
      <c r="K6" s="4">
        <v>4.5952137091001197E-3</v>
      </c>
      <c r="L6" s="4"/>
      <c r="M6" s="4"/>
      <c r="N6" s="4"/>
      <c r="O6" s="4"/>
      <c r="P6" s="4">
        <f>LN(F6)</f>
        <v>0</v>
      </c>
      <c r="Q6" s="4"/>
    </row>
    <row r="7" spans="1:17" s="3" customFormat="1" x14ac:dyDescent="0.25">
      <c r="A7" s="5">
        <v>6</v>
      </c>
      <c r="B7" s="5">
        <v>27</v>
      </c>
      <c r="C7" s="5" t="s">
        <v>30</v>
      </c>
      <c r="D7" s="5" t="s">
        <v>31</v>
      </c>
      <c r="E7" s="5"/>
      <c r="F7" s="5">
        <v>3662</v>
      </c>
      <c r="G7" s="5">
        <v>4705</v>
      </c>
      <c r="H7" s="5">
        <v>0.77832093517534495</v>
      </c>
      <c r="I7" s="5">
        <v>3924</v>
      </c>
      <c r="J7" s="5">
        <v>0.93323139653414899</v>
      </c>
      <c r="K7" s="5">
        <v>1.7115523317094901</v>
      </c>
      <c r="L7" s="5">
        <v>1822</v>
      </c>
      <c r="M7" s="5">
        <v>0.77963200684638401</v>
      </c>
      <c r="N7" s="5">
        <v>0.94797086368366301</v>
      </c>
      <c r="O7" s="5">
        <v>1.7276028705300499</v>
      </c>
      <c r="P7" s="5">
        <f>LN(F7)</f>
        <v>8.2057647252344559</v>
      </c>
      <c r="Q7" s="5">
        <f>LN(L7)</f>
        <v>7.5076900778199036</v>
      </c>
    </row>
    <row r="8" spans="1:17" s="3" customFormat="1" x14ac:dyDescent="0.25">
      <c r="A8" s="5">
        <v>7</v>
      </c>
      <c r="B8" s="5">
        <v>21</v>
      </c>
      <c r="C8" s="5" t="s">
        <v>30</v>
      </c>
      <c r="D8" s="5" t="s">
        <v>48</v>
      </c>
      <c r="E8" s="5"/>
      <c r="F8" s="5">
        <v>501</v>
      </c>
      <c r="G8" s="5">
        <v>4705</v>
      </c>
      <c r="H8" s="5">
        <v>0.106482465462274</v>
      </c>
      <c r="I8" s="5">
        <v>636</v>
      </c>
      <c r="J8" s="5">
        <v>0.78773584905660399</v>
      </c>
      <c r="K8" s="5">
        <v>0.89421831451887801</v>
      </c>
      <c r="L8" s="5">
        <v>249</v>
      </c>
      <c r="M8" s="5">
        <v>0.106546854942234</v>
      </c>
      <c r="N8" s="5">
        <v>0.79047619047619</v>
      </c>
      <c r="O8" s="5">
        <v>0.89702304541842404</v>
      </c>
      <c r="P8" s="5">
        <f>LN(F8)</f>
        <v>6.2166061010848646</v>
      </c>
      <c r="Q8" s="5">
        <f>LN(L8)</f>
        <v>5.5174528964647074</v>
      </c>
    </row>
    <row r="9" spans="1:17" s="3" customFormat="1" x14ac:dyDescent="0.25">
      <c r="A9" s="5">
        <v>8</v>
      </c>
      <c r="B9" s="5">
        <v>140</v>
      </c>
      <c r="C9" s="5" t="s">
        <v>30</v>
      </c>
      <c r="D9" s="5" t="s">
        <v>35</v>
      </c>
      <c r="E9" s="5"/>
      <c r="F9" s="5">
        <v>253</v>
      </c>
      <c r="G9" s="5">
        <v>4705</v>
      </c>
      <c r="H9" s="5">
        <v>5.37725823591923E-2</v>
      </c>
      <c r="I9" s="5">
        <v>2533</v>
      </c>
      <c r="J9" s="5">
        <v>9.9881563363600503E-2</v>
      </c>
      <c r="K9" s="5">
        <v>0.15365414572279301</v>
      </c>
      <c r="L9" s="5">
        <v>122</v>
      </c>
      <c r="M9" s="5">
        <v>5.2203679931536198E-2</v>
      </c>
      <c r="N9" s="5">
        <v>0.85915492957746498</v>
      </c>
      <c r="O9" s="5">
        <v>0.91135860950900105</v>
      </c>
      <c r="P9" s="5">
        <f>LN(F9)</f>
        <v>5.5333894887275203</v>
      </c>
      <c r="Q9" s="5">
        <f>LN(L9)</f>
        <v>4.8040210447332568</v>
      </c>
    </row>
    <row r="10" spans="1:17" s="3" customFormat="1" x14ac:dyDescent="0.25">
      <c r="A10" s="5">
        <v>9</v>
      </c>
      <c r="B10" s="5">
        <v>151</v>
      </c>
      <c r="C10" s="5" t="s">
        <v>30</v>
      </c>
      <c r="D10" s="5" t="s">
        <v>56</v>
      </c>
      <c r="E10" s="5"/>
      <c r="F10" s="5">
        <v>130</v>
      </c>
      <c r="G10" s="5">
        <v>4705</v>
      </c>
      <c r="H10" s="5">
        <v>2.7630180658873502E-2</v>
      </c>
      <c r="I10" s="5">
        <v>244</v>
      </c>
      <c r="J10" s="5">
        <v>0.53278688524590201</v>
      </c>
      <c r="K10" s="5">
        <v>0.56041706590477502</v>
      </c>
      <c r="L10" s="5">
        <v>65</v>
      </c>
      <c r="M10" s="5">
        <v>2.78134360290971E-2</v>
      </c>
      <c r="N10" s="5">
        <v>0.76470588235294101</v>
      </c>
      <c r="O10" s="5">
        <v>0.79251931838203804</v>
      </c>
      <c r="P10" s="5">
        <f>LN(F10)</f>
        <v>4.8675344504555822</v>
      </c>
      <c r="Q10" s="5">
        <f>LN(L10)</f>
        <v>4.1743872698956368</v>
      </c>
    </row>
    <row r="11" spans="1:17" s="3" customFormat="1" x14ac:dyDescent="0.25">
      <c r="A11" s="5">
        <v>10</v>
      </c>
      <c r="B11" s="5">
        <v>188</v>
      </c>
      <c r="C11" s="5" t="s">
        <v>30</v>
      </c>
      <c r="D11" s="5" t="s">
        <v>42</v>
      </c>
      <c r="E11" s="5"/>
      <c r="F11" s="5">
        <v>54</v>
      </c>
      <c r="G11" s="5">
        <v>4705</v>
      </c>
      <c r="H11" s="5">
        <v>1.1477151965993601E-2</v>
      </c>
      <c r="I11" s="5">
        <v>3128</v>
      </c>
      <c r="J11" s="5">
        <v>1.7263427109974399E-2</v>
      </c>
      <c r="K11" s="5">
        <v>2.8740579075968001E-2</v>
      </c>
      <c r="L11" s="5">
        <v>27</v>
      </c>
      <c r="M11" s="5">
        <v>1.15532734274711E-2</v>
      </c>
      <c r="N11" s="5">
        <v>5.9340659340659303E-2</v>
      </c>
      <c r="O11" s="5">
        <v>7.0893932768130496E-2</v>
      </c>
      <c r="P11" s="5">
        <f>LN(F11)</f>
        <v>3.9889840465642745</v>
      </c>
      <c r="Q11" s="5">
        <f>LN(L11)</f>
        <v>3.2958368660043291</v>
      </c>
    </row>
    <row r="12" spans="1:17" s="3" customFormat="1" x14ac:dyDescent="0.25">
      <c r="A12" s="5">
        <v>11</v>
      </c>
      <c r="B12" s="5">
        <v>66</v>
      </c>
      <c r="C12" s="5" t="s">
        <v>30</v>
      </c>
      <c r="D12" s="5" t="s">
        <v>59</v>
      </c>
      <c r="E12" s="5"/>
      <c r="F12" s="5">
        <v>52</v>
      </c>
      <c r="G12" s="5">
        <v>4705</v>
      </c>
      <c r="H12" s="5">
        <v>1.1052072263549401E-2</v>
      </c>
      <c r="I12" s="5">
        <v>258</v>
      </c>
      <c r="J12" s="5">
        <v>0.201550387596899</v>
      </c>
      <c r="K12" s="5">
        <v>0.21260245986044901</v>
      </c>
      <c r="L12" s="5">
        <v>25</v>
      </c>
      <c r="M12" s="5">
        <v>1.0697475395806601E-2</v>
      </c>
      <c r="N12" s="5">
        <v>0.28735632183908</v>
      </c>
      <c r="O12" s="5">
        <v>0.29805379723488701</v>
      </c>
      <c r="P12" s="5">
        <f>LN(F12)</f>
        <v>3.9512437185814275</v>
      </c>
      <c r="Q12" s="5">
        <f>LN(L12)</f>
        <v>3.2188758248682006</v>
      </c>
    </row>
    <row r="13" spans="1:17" s="6" customFormat="1" x14ac:dyDescent="0.25">
      <c r="A13" s="5">
        <v>12</v>
      </c>
      <c r="B13" s="5">
        <v>55</v>
      </c>
      <c r="C13" s="5" t="s">
        <v>30</v>
      </c>
      <c r="D13" s="5" t="s">
        <v>21</v>
      </c>
      <c r="E13" s="5"/>
      <c r="F13" s="5">
        <v>12</v>
      </c>
      <c r="G13" s="5">
        <v>4705</v>
      </c>
      <c r="H13" s="5">
        <v>2.5504782146652501E-3</v>
      </c>
      <c r="I13" s="5">
        <v>13644</v>
      </c>
      <c r="J13" s="5">
        <v>8.7950747581354402E-4</v>
      </c>
      <c r="K13" s="5">
        <v>3.42998569047879E-3</v>
      </c>
      <c r="L13" s="5">
        <v>5</v>
      </c>
      <c r="M13" s="5">
        <v>2.1394950791613198E-3</v>
      </c>
      <c r="N13" s="5">
        <v>1.45772594752187E-3</v>
      </c>
      <c r="O13" s="5">
        <v>3.5972210266831798E-3</v>
      </c>
      <c r="P13" s="5">
        <f>LN(F13)</f>
        <v>2.4849066497880004</v>
      </c>
      <c r="Q13" s="5">
        <f>LN(L13)</f>
        <v>1.6094379124341003</v>
      </c>
    </row>
    <row r="14" spans="1:17" s="6" customFormat="1" x14ac:dyDescent="0.25">
      <c r="A14" s="5">
        <v>13</v>
      </c>
      <c r="B14" s="5">
        <v>81</v>
      </c>
      <c r="C14" s="5" t="s">
        <v>30</v>
      </c>
      <c r="D14" s="5" t="s">
        <v>46</v>
      </c>
      <c r="E14" s="5"/>
      <c r="F14" s="5">
        <v>8</v>
      </c>
      <c r="G14" s="5">
        <v>4705</v>
      </c>
      <c r="H14" s="5">
        <v>1.7003188097768299E-3</v>
      </c>
      <c r="I14" s="5">
        <v>220</v>
      </c>
      <c r="J14" s="5">
        <v>3.6363636363636397E-2</v>
      </c>
      <c r="K14" s="5">
        <v>3.8063955173413197E-2</v>
      </c>
      <c r="L14" s="5">
        <v>4</v>
      </c>
      <c r="M14" s="5">
        <v>1.71159606332905E-3</v>
      </c>
      <c r="N14" s="5">
        <v>5.0632911392405097E-2</v>
      </c>
      <c r="O14" s="5">
        <v>5.2344507455734102E-2</v>
      </c>
      <c r="P14" s="5">
        <f>LN(F14)</f>
        <v>2.0794415416798357</v>
      </c>
      <c r="Q14" s="5">
        <f>LN(L14)</f>
        <v>1.3862943611198906</v>
      </c>
    </row>
    <row r="15" spans="1:17" s="6" customFormat="1" x14ac:dyDescent="0.25">
      <c r="A15" s="5">
        <v>14</v>
      </c>
      <c r="B15" s="5">
        <v>88</v>
      </c>
      <c r="C15" s="5" t="s">
        <v>30</v>
      </c>
      <c r="D15" s="5" t="s">
        <v>55</v>
      </c>
      <c r="E15" s="5"/>
      <c r="F15" s="5">
        <v>8</v>
      </c>
      <c r="G15" s="5">
        <v>4705</v>
      </c>
      <c r="H15" s="5">
        <v>1.7003188097768299E-3</v>
      </c>
      <c r="I15" s="5">
        <v>41</v>
      </c>
      <c r="J15" s="5">
        <v>0.19512195121951201</v>
      </c>
      <c r="K15" s="5">
        <v>0.19682227002928901</v>
      </c>
      <c r="L15" s="5">
        <v>4</v>
      </c>
      <c r="M15" s="5">
        <v>1.71159606332905E-3</v>
      </c>
      <c r="N15" s="5">
        <v>0.266666666666667</v>
      </c>
      <c r="O15" s="5">
        <v>0.26837826272999599</v>
      </c>
      <c r="P15" s="5">
        <f>LN(F15)</f>
        <v>2.0794415416798357</v>
      </c>
      <c r="Q15" s="5">
        <f>LN(L15)</f>
        <v>1.3862943611198906</v>
      </c>
    </row>
    <row r="16" spans="1:17" s="4" customFormat="1" x14ac:dyDescent="0.25">
      <c r="A16" s="5">
        <v>15</v>
      </c>
      <c r="B16" s="5">
        <v>114</v>
      </c>
      <c r="C16" s="5" t="s">
        <v>30</v>
      </c>
      <c r="D16" s="5" t="s">
        <v>58</v>
      </c>
      <c r="E16" s="5"/>
      <c r="F16" s="5">
        <v>8</v>
      </c>
      <c r="G16" s="5">
        <v>4705</v>
      </c>
      <c r="H16" s="5">
        <v>1.7003188097768299E-3</v>
      </c>
      <c r="I16" s="5">
        <v>28</v>
      </c>
      <c r="J16" s="5">
        <v>0.28571428571428598</v>
      </c>
      <c r="K16" s="5">
        <v>0.28741460452406298</v>
      </c>
      <c r="L16" s="5">
        <v>4</v>
      </c>
      <c r="M16" s="5">
        <v>1.71159606332905E-3</v>
      </c>
      <c r="N16" s="5">
        <v>0.30769230769230799</v>
      </c>
      <c r="O16" s="5">
        <v>0.30940390375563698</v>
      </c>
      <c r="P16" s="5">
        <f>LN(F16)</f>
        <v>2.0794415416798357</v>
      </c>
      <c r="Q16" s="5">
        <f>LN(L16)</f>
        <v>1.3862943611198906</v>
      </c>
    </row>
    <row r="17" spans="1:17" s="4" customFormat="1" x14ac:dyDescent="0.25">
      <c r="A17" s="5">
        <v>16</v>
      </c>
      <c r="B17" s="5">
        <v>125</v>
      </c>
      <c r="C17" s="5" t="s">
        <v>30</v>
      </c>
      <c r="D17" s="5" t="s">
        <v>29</v>
      </c>
      <c r="E17" s="5"/>
      <c r="F17" s="5">
        <v>8</v>
      </c>
      <c r="G17" s="5">
        <v>4705</v>
      </c>
      <c r="H17" s="5">
        <v>1.7003188097768299E-3</v>
      </c>
      <c r="I17" s="5">
        <v>5305</v>
      </c>
      <c r="J17" s="5">
        <v>1.5080113100848301E-3</v>
      </c>
      <c r="K17" s="5">
        <v>3.2083301198616602E-3</v>
      </c>
      <c r="L17" s="5">
        <v>4</v>
      </c>
      <c r="M17" s="5">
        <v>1.71159606332905E-3</v>
      </c>
      <c r="N17" s="5">
        <v>3.40425531914894E-3</v>
      </c>
      <c r="O17" s="5">
        <v>5.1158513824779896E-3</v>
      </c>
      <c r="P17" s="5">
        <f>LN(F17)</f>
        <v>2.0794415416798357</v>
      </c>
      <c r="Q17" s="5">
        <f>LN(L17)</f>
        <v>1.3862943611198906</v>
      </c>
    </row>
    <row r="18" spans="1:17" s="4" customFormat="1" x14ac:dyDescent="0.25">
      <c r="A18" s="3">
        <v>17</v>
      </c>
      <c r="B18" s="3">
        <v>40</v>
      </c>
      <c r="C18" s="3" t="s">
        <v>30</v>
      </c>
      <c r="D18" s="3" t="s">
        <v>24</v>
      </c>
      <c r="E18" s="3" t="s">
        <v>63</v>
      </c>
      <c r="F18" s="3">
        <v>5</v>
      </c>
      <c r="G18" s="3">
        <v>4705</v>
      </c>
      <c r="H18" s="3">
        <v>1.06269925611052E-3</v>
      </c>
      <c r="I18" s="3">
        <v>2287</v>
      </c>
      <c r="J18" s="3">
        <v>2.1862702229995599E-3</v>
      </c>
      <c r="K18" s="3">
        <v>3.2489694791100802E-3</v>
      </c>
      <c r="L18" s="3">
        <v>4</v>
      </c>
      <c r="M18" s="3">
        <v>1.71159606332905E-3</v>
      </c>
      <c r="N18" s="3">
        <v>6.6115702479338798E-3</v>
      </c>
      <c r="O18" s="3">
        <v>8.3231663112629407E-3</v>
      </c>
      <c r="P18" s="3">
        <f>LN(F18)</f>
        <v>1.6094379124341003</v>
      </c>
      <c r="Q18" s="3">
        <f>LN(L18)</f>
        <v>1.3862943611198906</v>
      </c>
    </row>
    <row r="19" spans="1:17" s="4" customFormat="1" x14ac:dyDescent="0.25">
      <c r="A19" s="3">
        <v>18</v>
      </c>
      <c r="B19" s="3">
        <v>3</v>
      </c>
      <c r="C19" s="3" t="s">
        <v>30</v>
      </c>
      <c r="D19" s="3" t="s">
        <v>52</v>
      </c>
      <c r="E19" s="3" t="s">
        <v>63</v>
      </c>
      <c r="F19" s="3">
        <v>4</v>
      </c>
      <c r="G19" s="3">
        <v>4705</v>
      </c>
      <c r="H19" s="3">
        <v>8.5015940488841703E-4</v>
      </c>
      <c r="I19" s="3">
        <v>62</v>
      </c>
      <c r="J19" s="3">
        <v>6.4516129032258104E-2</v>
      </c>
      <c r="K19" s="3">
        <v>6.5366288437146494E-2</v>
      </c>
      <c r="L19" s="3">
        <v>2</v>
      </c>
      <c r="M19" s="3">
        <v>8.5579803166452697E-4</v>
      </c>
      <c r="N19" s="3">
        <v>8.6956521739130405E-2</v>
      </c>
      <c r="O19" s="3">
        <v>8.7812319770794997E-2</v>
      </c>
      <c r="P19" s="3">
        <f>LN(F19)</f>
        <v>1.3862943611198906</v>
      </c>
      <c r="Q19" s="3">
        <f>LN(L19)</f>
        <v>0.69314718055994529</v>
      </c>
    </row>
    <row r="20" spans="1:17" s="4" customFormat="1" x14ac:dyDescent="0.25">
      <c r="A20" s="5">
        <v>19</v>
      </c>
      <c r="B20" s="5">
        <v>10</v>
      </c>
      <c r="C20" s="5" t="s">
        <v>14</v>
      </c>
      <c r="D20" s="5" t="s">
        <v>15</v>
      </c>
      <c r="E20" s="5"/>
      <c r="F20" s="5">
        <v>24</v>
      </c>
      <c r="G20" s="5">
        <v>24</v>
      </c>
      <c r="H20" s="5">
        <v>1</v>
      </c>
      <c r="I20" s="5">
        <v>25</v>
      </c>
      <c r="J20" s="5">
        <v>0.96</v>
      </c>
      <c r="K20" s="5">
        <v>1.96</v>
      </c>
      <c r="L20" s="5">
        <v>8</v>
      </c>
      <c r="M20" s="5">
        <v>1</v>
      </c>
      <c r="N20" s="5">
        <v>1</v>
      </c>
      <c r="O20" s="5">
        <v>2</v>
      </c>
      <c r="P20" s="5">
        <f>LN(F20)</f>
        <v>3.1780538303479458</v>
      </c>
      <c r="Q20" s="5">
        <f>LN(L20)</f>
        <v>2.0794415416798357</v>
      </c>
    </row>
    <row r="21" spans="1:17" s="4" customFormat="1" x14ac:dyDescent="0.25">
      <c r="A21" s="5">
        <v>20</v>
      </c>
      <c r="B21" s="5">
        <v>35</v>
      </c>
      <c r="C21" s="5" t="s">
        <v>23</v>
      </c>
      <c r="D21" s="5" t="s">
        <v>24</v>
      </c>
      <c r="E21" s="5"/>
      <c r="F21" s="5">
        <v>2168</v>
      </c>
      <c r="G21" s="5">
        <v>2358</v>
      </c>
      <c r="H21" s="5">
        <v>0.91942324003392695</v>
      </c>
      <c r="I21" s="5">
        <v>2287</v>
      </c>
      <c r="J21" s="5">
        <v>0.94796676869260998</v>
      </c>
      <c r="K21" s="5">
        <v>1.86739000872654</v>
      </c>
      <c r="L21" s="5">
        <v>574</v>
      </c>
      <c r="M21" s="5">
        <v>0.93790849673202603</v>
      </c>
      <c r="N21" s="5">
        <v>0.94876033057851195</v>
      </c>
      <c r="O21" s="5">
        <v>1.8866688273105401</v>
      </c>
      <c r="P21" s="5">
        <f>LN(F21)</f>
        <v>7.6815603625595372</v>
      </c>
      <c r="Q21" s="5">
        <f>LN(L21)</f>
        <v>6.3526293963195668</v>
      </c>
    </row>
    <row r="22" spans="1:17" s="4" customFormat="1" x14ac:dyDescent="0.25">
      <c r="A22" s="5">
        <v>21</v>
      </c>
      <c r="B22" s="5">
        <v>141</v>
      </c>
      <c r="C22" s="5" t="s">
        <v>23</v>
      </c>
      <c r="D22" s="5" t="s">
        <v>35</v>
      </c>
      <c r="E22" s="5"/>
      <c r="F22" s="5">
        <v>62</v>
      </c>
      <c r="G22" s="5">
        <v>2358</v>
      </c>
      <c r="H22" s="5">
        <v>2.6293469041560599E-2</v>
      </c>
      <c r="I22" s="5">
        <v>2533</v>
      </c>
      <c r="J22" s="5">
        <v>2.44769048559021E-2</v>
      </c>
      <c r="K22" s="5">
        <v>5.0770373897462702E-2</v>
      </c>
      <c r="L22" s="5">
        <v>3</v>
      </c>
      <c r="M22" s="5">
        <v>4.9019607843137298E-3</v>
      </c>
      <c r="N22" s="5">
        <v>2.1126760563380299E-2</v>
      </c>
      <c r="O22" s="5">
        <v>2.6028721347694E-2</v>
      </c>
      <c r="P22" s="5">
        <f>LN(F22)</f>
        <v>4.1271343850450917</v>
      </c>
      <c r="Q22" s="5">
        <f>LN(L22)</f>
        <v>1.0986122886681098</v>
      </c>
    </row>
    <row r="23" spans="1:17" s="4" customFormat="1" x14ac:dyDescent="0.25">
      <c r="A23" s="5">
        <v>22</v>
      </c>
      <c r="B23" s="5">
        <v>190</v>
      </c>
      <c r="C23" s="5" t="s">
        <v>23</v>
      </c>
      <c r="D23" s="5" t="s">
        <v>42</v>
      </c>
      <c r="E23" s="5"/>
      <c r="F23" s="5">
        <v>42</v>
      </c>
      <c r="G23" s="5">
        <v>2358</v>
      </c>
      <c r="H23" s="5">
        <v>1.7811704834605601E-2</v>
      </c>
      <c r="I23" s="5">
        <v>3128</v>
      </c>
      <c r="J23" s="5">
        <v>1.34271099744246E-2</v>
      </c>
      <c r="K23" s="5">
        <v>3.1238814809030201E-2</v>
      </c>
      <c r="L23" s="5">
        <v>8</v>
      </c>
      <c r="M23" s="5">
        <v>1.30718954248366E-2</v>
      </c>
      <c r="N23" s="5">
        <v>1.75824175824176E-2</v>
      </c>
      <c r="O23" s="5">
        <v>3.06543130072542E-2</v>
      </c>
      <c r="P23" s="5">
        <f>LN(F23)</f>
        <v>3.7376696182833684</v>
      </c>
      <c r="Q23" s="5">
        <f>LN(L23)</f>
        <v>2.0794415416798357</v>
      </c>
    </row>
    <row r="24" spans="1:17" s="4" customFormat="1" x14ac:dyDescent="0.25">
      <c r="A24" s="5">
        <v>23</v>
      </c>
      <c r="B24" s="5">
        <v>68</v>
      </c>
      <c r="C24" s="5" t="s">
        <v>23</v>
      </c>
      <c r="D24" s="5" t="s">
        <v>59</v>
      </c>
      <c r="E24" s="5"/>
      <c r="F24" s="5">
        <v>19</v>
      </c>
      <c r="G24" s="5">
        <v>2358</v>
      </c>
      <c r="H24" s="5">
        <v>8.05767599660729E-3</v>
      </c>
      <c r="I24" s="5">
        <v>258</v>
      </c>
      <c r="J24" s="5">
        <v>7.3643410852713198E-2</v>
      </c>
      <c r="K24" s="5">
        <v>8.1701086849320495E-2</v>
      </c>
      <c r="L24" s="5">
        <v>5</v>
      </c>
      <c r="M24" s="5">
        <v>8.1699346405228798E-3</v>
      </c>
      <c r="N24" s="5">
        <v>5.7471264367816098E-2</v>
      </c>
      <c r="O24" s="5">
        <v>6.5641199008338993E-2</v>
      </c>
      <c r="P24" s="5">
        <f>LN(F24)</f>
        <v>2.9444389791664403</v>
      </c>
      <c r="Q24" s="5">
        <f>LN(L24)</f>
        <v>1.6094379124341003</v>
      </c>
    </row>
    <row r="25" spans="1:17" s="4" customFormat="1" x14ac:dyDescent="0.25">
      <c r="A25" s="5">
        <v>24</v>
      </c>
      <c r="B25" s="5">
        <v>53</v>
      </c>
      <c r="C25" s="5" t="s">
        <v>23</v>
      </c>
      <c r="D25" s="5" t="s">
        <v>21</v>
      </c>
      <c r="E25" s="5"/>
      <c r="F25" s="5">
        <v>18</v>
      </c>
      <c r="G25" s="5">
        <v>2358</v>
      </c>
      <c r="H25" s="5">
        <v>7.63358778625954E-3</v>
      </c>
      <c r="I25" s="5">
        <v>13644</v>
      </c>
      <c r="J25" s="5">
        <v>1.31926121372032E-3</v>
      </c>
      <c r="K25" s="5">
        <v>8.9528489999798604E-3</v>
      </c>
      <c r="L25" s="5">
        <v>5</v>
      </c>
      <c r="M25" s="5">
        <v>8.1699346405228798E-3</v>
      </c>
      <c r="N25" s="5">
        <v>1.45772594752187E-3</v>
      </c>
      <c r="O25" s="5">
        <v>9.6276605880447393E-3</v>
      </c>
      <c r="P25" s="5">
        <f>LN(F25)</f>
        <v>2.8903717578961645</v>
      </c>
      <c r="Q25" s="5">
        <f>LN(L25)</f>
        <v>1.6094379124341003</v>
      </c>
    </row>
    <row r="26" spans="1:17" s="4" customFormat="1" x14ac:dyDescent="0.25">
      <c r="A26" s="5">
        <v>25</v>
      </c>
      <c r="B26" s="5">
        <v>122</v>
      </c>
      <c r="C26" s="5" t="s">
        <v>23</v>
      </c>
      <c r="D26" s="5" t="s">
        <v>29</v>
      </c>
      <c r="E26" s="5"/>
      <c r="F26" s="5">
        <v>15</v>
      </c>
      <c r="G26" s="5">
        <v>2358</v>
      </c>
      <c r="H26" s="5">
        <v>6.3613231552162803E-3</v>
      </c>
      <c r="I26" s="5">
        <v>5305</v>
      </c>
      <c r="J26" s="5">
        <v>2.8275212064090499E-3</v>
      </c>
      <c r="K26" s="5">
        <v>9.1888443616253302E-3</v>
      </c>
      <c r="L26" s="5">
        <v>5</v>
      </c>
      <c r="M26" s="5">
        <v>8.1699346405228798E-3</v>
      </c>
      <c r="N26" s="5">
        <v>4.2553191489361703E-3</v>
      </c>
      <c r="O26" s="5">
        <v>1.2425253789459001E-2</v>
      </c>
      <c r="P26" s="5">
        <f>LN(F26)</f>
        <v>2.7080502011022101</v>
      </c>
      <c r="Q26" s="5">
        <f>LN(L26)</f>
        <v>1.6094379124341003</v>
      </c>
    </row>
    <row r="27" spans="1:17" s="4" customFormat="1" x14ac:dyDescent="0.25">
      <c r="A27" s="7">
        <v>26</v>
      </c>
      <c r="B27" s="7">
        <v>32</v>
      </c>
      <c r="C27" s="7" t="s">
        <v>23</v>
      </c>
      <c r="D27" s="7" t="s">
        <v>31</v>
      </c>
      <c r="E27" s="7" t="s">
        <v>62</v>
      </c>
      <c r="F27" s="7">
        <v>8</v>
      </c>
      <c r="G27" s="7">
        <v>2358</v>
      </c>
      <c r="H27" s="7">
        <v>3.3927056827820199E-3</v>
      </c>
      <c r="I27" s="7">
        <v>3924</v>
      </c>
      <c r="J27" s="7">
        <v>2.0387359836901101E-3</v>
      </c>
      <c r="K27" s="7">
        <v>5.4314416664721296E-3</v>
      </c>
      <c r="L27" s="7">
        <v>3</v>
      </c>
      <c r="M27" s="7">
        <v>4.9019607843137298E-3</v>
      </c>
      <c r="N27" s="7">
        <v>1.5608740894901101E-3</v>
      </c>
      <c r="O27" s="7">
        <v>6.4628348738038398E-3</v>
      </c>
      <c r="P27" s="7">
        <f>LN(F27)</f>
        <v>2.0794415416798357</v>
      </c>
      <c r="Q27" s="7">
        <f>LN(L27)</f>
        <v>1.0986122886681098</v>
      </c>
    </row>
    <row r="28" spans="1:17" s="4" customFormat="1" x14ac:dyDescent="0.25">
      <c r="A28" s="4">
        <v>27</v>
      </c>
      <c r="B28" s="4">
        <v>43</v>
      </c>
      <c r="C28" s="4" t="s">
        <v>23</v>
      </c>
      <c r="D28" s="4" t="s">
        <v>50</v>
      </c>
      <c r="E28" s="4" t="s">
        <v>61</v>
      </c>
      <c r="F28" s="4">
        <v>6</v>
      </c>
      <c r="G28" s="4">
        <v>2358</v>
      </c>
      <c r="H28" s="4">
        <v>2.5445292620865098E-3</v>
      </c>
      <c r="I28" s="4">
        <v>40</v>
      </c>
      <c r="J28" s="4">
        <v>0.15</v>
      </c>
      <c r="K28" s="4">
        <v>0.152544529262087</v>
      </c>
      <c r="L28" s="4">
        <v>2</v>
      </c>
      <c r="M28" s="4">
        <v>3.26797385620915E-3</v>
      </c>
      <c r="N28" s="4">
        <v>0.125</v>
      </c>
      <c r="O28" s="4">
        <v>0.128267973856209</v>
      </c>
      <c r="P28" s="4">
        <f>LN(F28)</f>
        <v>1.791759469228055</v>
      </c>
      <c r="Q28" s="4">
        <f>LN(L28)</f>
        <v>0.69314718055994529</v>
      </c>
    </row>
    <row r="29" spans="1:17" s="4" customFormat="1" x14ac:dyDescent="0.25">
      <c r="A29" s="4">
        <v>28</v>
      </c>
      <c r="B29" s="4">
        <v>173</v>
      </c>
      <c r="C29" s="4" t="s">
        <v>23</v>
      </c>
      <c r="D29" s="4" t="s">
        <v>33</v>
      </c>
      <c r="E29" s="4" t="s">
        <v>61</v>
      </c>
      <c r="F29" s="4">
        <v>5</v>
      </c>
      <c r="G29" s="4">
        <v>2358</v>
      </c>
      <c r="H29" s="4">
        <v>2.1204410517387598E-3</v>
      </c>
      <c r="I29" s="4">
        <v>4779</v>
      </c>
      <c r="J29" s="4">
        <v>1.0462439840970899E-3</v>
      </c>
      <c r="K29" s="4">
        <v>3.1666850358358502E-3</v>
      </c>
      <c r="L29" s="4">
        <v>1</v>
      </c>
      <c r="M29" s="4">
        <v>1.63398692810458E-3</v>
      </c>
      <c r="N29" s="4">
        <v>1.67224080267559E-3</v>
      </c>
      <c r="O29" s="4">
        <v>3.30622773078016E-3</v>
      </c>
      <c r="P29" s="4">
        <f>LN(F29)</f>
        <v>1.6094379124341003</v>
      </c>
      <c r="Q29" s="4">
        <f>LN(L29)</f>
        <v>0</v>
      </c>
    </row>
    <row r="30" spans="1:17" s="4" customFormat="1" x14ac:dyDescent="0.25">
      <c r="A30" s="5">
        <v>29</v>
      </c>
      <c r="B30" s="5">
        <v>155</v>
      </c>
      <c r="C30" s="5" t="s">
        <v>23</v>
      </c>
      <c r="D30" s="5" t="s">
        <v>56</v>
      </c>
      <c r="E30" s="5"/>
      <c r="F30" s="5">
        <v>4</v>
      </c>
      <c r="G30" s="5">
        <v>2358</v>
      </c>
      <c r="H30" s="5">
        <v>1.69635284139101E-3</v>
      </c>
      <c r="I30" s="5">
        <v>244</v>
      </c>
      <c r="J30" s="5">
        <v>1.63934426229508E-2</v>
      </c>
      <c r="K30" s="5">
        <v>1.80897954643418E-2</v>
      </c>
      <c r="L30" s="5">
        <v>2</v>
      </c>
      <c r="M30" s="5">
        <v>3.26797385620915E-3</v>
      </c>
      <c r="N30" s="5">
        <v>2.3529411764705899E-2</v>
      </c>
      <c r="O30" s="5">
        <v>2.6797385620915E-2</v>
      </c>
      <c r="P30" s="5">
        <f>LN(F30)</f>
        <v>1.3862943611198906</v>
      </c>
      <c r="Q30" s="5">
        <f>LN(L30)</f>
        <v>0.69314718055994529</v>
      </c>
    </row>
    <row r="31" spans="1:17" s="4" customFormat="1" x14ac:dyDescent="0.25">
      <c r="A31" s="5">
        <v>30</v>
      </c>
      <c r="B31" s="5">
        <v>90</v>
      </c>
      <c r="C31" s="5" t="s">
        <v>23</v>
      </c>
      <c r="D31" s="5" t="s">
        <v>55</v>
      </c>
      <c r="E31" s="5"/>
      <c r="F31" s="5">
        <v>3</v>
      </c>
      <c r="G31" s="5">
        <v>2358</v>
      </c>
      <c r="H31" s="5">
        <v>1.2722646310432599E-3</v>
      </c>
      <c r="I31" s="5">
        <v>41</v>
      </c>
      <c r="J31" s="5">
        <v>7.3170731707317097E-2</v>
      </c>
      <c r="K31" s="5">
        <v>7.4442996338360296E-2</v>
      </c>
      <c r="L31" s="5">
        <v>1</v>
      </c>
      <c r="M31" s="5">
        <v>1.63398692810458E-3</v>
      </c>
      <c r="N31" s="5">
        <v>6.6666666666666693E-2</v>
      </c>
      <c r="O31" s="5">
        <v>6.8300653594771193E-2</v>
      </c>
      <c r="P31" s="5">
        <f>LN(F31)</f>
        <v>1.0986122886681098</v>
      </c>
      <c r="Q31" s="5">
        <f>LN(L31)</f>
        <v>0</v>
      </c>
    </row>
    <row r="32" spans="1:17" s="4" customFormat="1" x14ac:dyDescent="0.25">
      <c r="A32" s="4">
        <v>31</v>
      </c>
      <c r="B32" s="4">
        <v>19</v>
      </c>
      <c r="C32" s="4" t="s">
        <v>23</v>
      </c>
      <c r="D32" s="4" t="s">
        <v>57</v>
      </c>
      <c r="E32" s="4" t="s">
        <v>61</v>
      </c>
      <c r="F32" s="4">
        <v>2</v>
      </c>
      <c r="G32" s="4">
        <v>2358</v>
      </c>
      <c r="H32" s="4">
        <v>8.4817642069550498E-4</v>
      </c>
      <c r="I32" s="4">
        <v>113</v>
      </c>
      <c r="J32" s="4">
        <v>1.7699115044247801E-2</v>
      </c>
      <c r="K32" s="4">
        <v>1.85472914649433E-2</v>
      </c>
      <c r="P32" s="4">
        <f>LN(F32)</f>
        <v>0.69314718055994529</v>
      </c>
    </row>
    <row r="33" spans="1:17" s="4" customFormat="1" x14ac:dyDescent="0.25">
      <c r="A33" s="4">
        <v>32</v>
      </c>
      <c r="B33" s="4">
        <v>96</v>
      </c>
      <c r="C33" s="4" t="s">
        <v>23</v>
      </c>
      <c r="D33" s="4" t="s">
        <v>40</v>
      </c>
      <c r="E33" s="4" t="s">
        <v>61</v>
      </c>
      <c r="F33" s="4">
        <v>2</v>
      </c>
      <c r="G33" s="4">
        <v>2358</v>
      </c>
      <c r="H33" s="4">
        <v>8.4817642069550498E-4</v>
      </c>
      <c r="I33" s="4">
        <v>879</v>
      </c>
      <c r="J33" s="4">
        <v>2.2753128555176301E-3</v>
      </c>
      <c r="K33" s="4">
        <v>3.1234892762131402E-3</v>
      </c>
      <c r="L33" s="4">
        <v>1</v>
      </c>
      <c r="M33" s="4">
        <v>1.63398692810458E-3</v>
      </c>
      <c r="N33" s="4">
        <v>3.7174721189591098E-3</v>
      </c>
      <c r="O33" s="4">
        <v>5.3514590470636796E-3</v>
      </c>
      <c r="P33" s="4">
        <f>LN(F33)</f>
        <v>0.69314718055994529</v>
      </c>
      <c r="Q33" s="4">
        <f>LN(L33)</f>
        <v>0</v>
      </c>
    </row>
    <row r="34" spans="1:17" s="4" customFormat="1" x14ac:dyDescent="0.25">
      <c r="A34" s="5">
        <v>33</v>
      </c>
      <c r="B34" s="5">
        <v>115</v>
      </c>
      <c r="C34" s="5" t="s">
        <v>23</v>
      </c>
      <c r="D34" s="5" t="s">
        <v>58</v>
      </c>
      <c r="E34" s="5"/>
      <c r="F34" s="5">
        <v>2</v>
      </c>
      <c r="G34" s="5">
        <v>2358</v>
      </c>
      <c r="H34" s="5">
        <v>8.4817642069550498E-4</v>
      </c>
      <c r="I34" s="5">
        <v>28</v>
      </c>
      <c r="J34" s="5">
        <v>7.1428571428571397E-2</v>
      </c>
      <c r="K34" s="5">
        <v>7.2276747849266895E-2</v>
      </c>
      <c r="L34" s="5">
        <v>1</v>
      </c>
      <c r="M34" s="5">
        <v>1.63398692810458E-3</v>
      </c>
      <c r="N34" s="5">
        <v>7.69230769230769E-2</v>
      </c>
      <c r="O34" s="5">
        <v>7.8557063851181497E-2</v>
      </c>
      <c r="P34" s="5">
        <f>LN(F34)</f>
        <v>0.69314718055994529</v>
      </c>
      <c r="Q34" s="5">
        <f>LN(L34)</f>
        <v>0</v>
      </c>
    </row>
    <row r="35" spans="1:17" s="4" customFormat="1" x14ac:dyDescent="0.25">
      <c r="A35" s="4">
        <v>34</v>
      </c>
      <c r="B35" s="4">
        <v>184</v>
      </c>
      <c r="C35" s="4" t="s">
        <v>23</v>
      </c>
      <c r="D35" s="4" t="s">
        <v>26</v>
      </c>
      <c r="E35" s="4" t="s">
        <v>61</v>
      </c>
      <c r="F35" s="4">
        <v>2</v>
      </c>
      <c r="G35" s="4">
        <v>2358</v>
      </c>
      <c r="H35" s="4">
        <v>8.4817642069550498E-4</v>
      </c>
      <c r="I35" s="4">
        <v>107</v>
      </c>
      <c r="J35" s="4">
        <v>1.86915887850467E-2</v>
      </c>
      <c r="K35" s="4">
        <v>1.9539765205742202E-2</v>
      </c>
      <c r="L35" s="4">
        <v>1</v>
      </c>
      <c r="M35" s="4">
        <v>1.63398692810458E-3</v>
      </c>
      <c r="N35" s="4">
        <v>2.5641025641025599E-2</v>
      </c>
      <c r="O35" s="4">
        <v>2.7275012569130199E-2</v>
      </c>
      <c r="P35" s="4">
        <f>LN(F35)</f>
        <v>0.69314718055994529</v>
      </c>
      <c r="Q35" s="4">
        <f>LN(L35)</f>
        <v>0</v>
      </c>
    </row>
    <row r="36" spans="1:17" s="4" customFormat="1" x14ac:dyDescent="0.25">
      <c r="A36" s="5">
        <v>35</v>
      </c>
      <c r="B36" s="5">
        <v>77</v>
      </c>
      <c r="C36" s="5" t="s">
        <v>54</v>
      </c>
      <c r="D36" s="5" t="s">
        <v>46</v>
      </c>
      <c r="E36" s="5"/>
      <c r="F36" s="5">
        <v>16</v>
      </c>
      <c r="G36" s="5">
        <v>31</v>
      </c>
      <c r="H36" s="5">
        <v>0.51612903225806495</v>
      </c>
      <c r="I36" s="5">
        <v>220</v>
      </c>
      <c r="J36" s="5">
        <v>7.2727272727272696E-2</v>
      </c>
      <c r="K36" s="5">
        <v>0.58885630498533703</v>
      </c>
      <c r="L36" s="5">
        <v>4</v>
      </c>
      <c r="M36" s="5">
        <v>0.5</v>
      </c>
      <c r="N36" s="5">
        <v>5.0632911392405097E-2</v>
      </c>
      <c r="O36" s="5">
        <v>0.550632911392405</v>
      </c>
      <c r="P36" s="5">
        <f>LN(F36)</f>
        <v>2.7725887222397811</v>
      </c>
      <c r="Q36" s="5">
        <f>LN(L36)</f>
        <v>1.3862943611198906</v>
      </c>
    </row>
    <row r="37" spans="1:17" s="4" customFormat="1" x14ac:dyDescent="0.25">
      <c r="A37" s="5">
        <v>36</v>
      </c>
      <c r="B37" s="5">
        <v>193</v>
      </c>
      <c r="C37" s="5" t="s">
        <v>54</v>
      </c>
      <c r="D37" s="5" t="s">
        <v>42</v>
      </c>
      <c r="E37" s="5"/>
      <c r="F37" s="5">
        <v>12</v>
      </c>
      <c r="G37" s="5">
        <v>31</v>
      </c>
      <c r="H37" s="5">
        <v>0.38709677419354799</v>
      </c>
      <c r="I37" s="5">
        <v>3128</v>
      </c>
      <c r="J37" s="5">
        <v>3.8363171355498701E-3</v>
      </c>
      <c r="K37" s="5">
        <v>0.39093309132909798</v>
      </c>
      <c r="L37" s="5">
        <v>3</v>
      </c>
      <c r="M37" s="5">
        <v>0.375</v>
      </c>
      <c r="N37" s="5">
        <v>6.5934065934065899E-3</v>
      </c>
      <c r="O37" s="5">
        <v>0.38159340659340701</v>
      </c>
      <c r="P37" s="5">
        <f>LN(F37)</f>
        <v>2.4849066497880004</v>
      </c>
      <c r="Q37" s="5">
        <f>LN(L37)</f>
        <v>1.0986122886681098</v>
      </c>
    </row>
    <row r="38" spans="1:17" s="4" customFormat="1" x14ac:dyDescent="0.25">
      <c r="A38" s="5">
        <v>37</v>
      </c>
      <c r="B38" s="5">
        <v>60</v>
      </c>
      <c r="C38" s="5" t="s">
        <v>54</v>
      </c>
      <c r="D38" s="5" t="s">
        <v>21</v>
      </c>
      <c r="E38" s="5"/>
      <c r="F38" s="5">
        <v>3</v>
      </c>
      <c r="G38" s="5">
        <v>31</v>
      </c>
      <c r="H38" s="5">
        <v>9.6774193548387094E-2</v>
      </c>
      <c r="I38" s="5">
        <v>13644</v>
      </c>
      <c r="J38" s="5">
        <v>2.1987686895338601E-4</v>
      </c>
      <c r="K38" s="5">
        <v>9.6994070417340497E-2</v>
      </c>
      <c r="L38" s="5">
        <v>1</v>
      </c>
      <c r="M38" s="5">
        <v>0.125</v>
      </c>
      <c r="N38" s="5">
        <v>2.9154518950437301E-4</v>
      </c>
      <c r="O38" s="5">
        <v>0.125291545189504</v>
      </c>
      <c r="P38" s="5">
        <f>LN(F38)</f>
        <v>1.0986122886681098</v>
      </c>
      <c r="Q38" s="5">
        <f>LN(L38)</f>
        <v>0</v>
      </c>
    </row>
    <row r="39" spans="1:17" s="4" customFormat="1" x14ac:dyDescent="0.25">
      <c r="A39" s="5">
        <v>38</v>
      </c>
      <c r="B39" s="5">
        <v>12</v>
      </c>
      <c r="C39" s="5" t="s">
        <v>38</v>
      </c>
      <c r="D39" s="5" t="s">
        <v>38</v>
      </c>
      <c r="E39" s="5"/>
      <c r="F39" s="5">
        <v>28</v>
      </c>
      <c r="G39" s="5">
        <v>45</v>
      </c>
      <c r="H39" s="5">
        <v>0.62222222222222201</v>
      </c>
      <c r="I39" s="5">
        <v>31</v>
      </c>
      <c r="J39" s="5">
        <v>0.90322580645161299</v>
      </c>
      <c r="K39" s="5">
        <v>1.5254480286738401</v>
      </c>
      <c r="L39" s="5">
        <v>10</v>
      </c>
      <c r="M39" s="5">
        <v>0.625</v>
      </c>
      <c r="N39" s="5">
        <v>0.90909090909090895</v>
      </c>
      <c r="O39" s="5">
        <v>1.5340909090909101</v>
      </c>
      <c r="P39" s="5">
        <f>LN(F39)</f>
        <v>3.3322045101752038</v>
      </c>
      <c r="Q39" s="5">
        <f>LN(L39)</f>
        <v>2.3025850929940459</v>
      </c>
    </row>
    <row r="40" spans="1:17" s="5" customFormat="1" x14ac:dyDescent="0.25">
      <c r="A40" s="5">
        <v>39</v>
      </c>
      <c r="B40" s="5">
        <v>126</v>
      </c>
      <c r="C40" s="5" t="s">
        <v>38</v>
      </c>
      <c r="D40" s="5" t="s">
        <v>29</v>
      </c>
      <c r="F40" s="5">
        <v>7</v>
      </c>
      <c r="G40" s="5">
        <v>45</v>
      </c>
      <c r="H40" s="5">
        <v>0.155555555555556</v>
      </c>
      <c r="I40" s="5">
        <v>5305</v>
      </c>
      <c r="J40" s="5">
        <v>1.3195098963242201E-3</v>
      </c>
      <c r="K40" s="5">
        <v>0.15687506545188001</v>
      </c>
      <c r="L40" s="5">
        <v>2</v>
      </c>
      <c r="M40" s="5">
        <v>0.125</v>
      </c>
      <c r="N40" s="5">
        <v>1.70212765957447E-3</v>
      </c>
      <c r="O40" s="5">
        <v>0.126702127659574</v>
      </c>
      <c r="P40" s="5">
        <f>LN(F40)</f>
        <v>1.9459101490553132</v>
      </c>
      <c r="Q40" s="5">
        <f>LN(L40)</f>
        <v>0.69314718055994529</v>
      </c>
    </row>
    <row r="41" spans="1:17" s="4" customFormat="1" x14ac:dyDescent="0.25">
      <c r="A41" s="4">
        <v>40</v>
      </c>
      <c r="B41" s="4">
        <v>71</v>
      </c>
      <c r="C41" s="4" t="s">
        <v>38</v>
      </c>
      <c r="D41" s="4" t="s">
        <v>59</v>
      </c>
      <c r="E41" s="4" t="s">
        <v>61</v>
      </c>
      <c r="F41" s="4">
        <v>6</v>
      </c>
      <c r="G41" s="4">
        <v>45</v>
      </c>
      <c r="H41" s="4">
        <v>0.133333333333333</v>
      </c>
      <c r="I41" s="4">
        <v>258</v>
      </c>
      <c r="J41" s="4">
        <v>2.32558139534884E-2</v>
      </c>
      <c r="K41" s="4">
        <v>0.15658914728682199</v>
      </c>
      <c r="L41" s="4">
        <v>2</v>
      </c>
      <c r="M41" s="4">
        <v>0.125</v>
      </c>
      <c r="N41" s="4">
        <v>2.2988505747126398E-2</v>
      </c>
      <c r="O41" s="4">
        <v>0.14798850574712599</v>
      </c>
      <c r="P41" s="4">
        <f>LN(F41)</f>
        <v>1.791759469228055</v>
      </c>
      <c r="Q41" s="4">
        <f>LN(L41)</f>
        <v>0.69314718055994529</v>
      </c>
    </row>
    <row r="42" spans="1:17" s="4" customFormat="1" x14ac:dyDescent="0.25">
      <c r="A42" s="4">
        <v>41</v>
      </c>
      <c r="B42" s="4">
        <v>45</v>
      </c>
      <c r="C42" s="4" t="s">
        <v>38</v>
      </c>
      <c r="D42" s="4" t="s">
        <v>50</v>
      </c>
      <c r="E42" s="4" t="s">
        <v>61</v>
      </c>
      <c r="F42" s="4">
        <v>3</v>
      </c>
      <c r="G42" s="4">
        <v>45</v>
      </c>
      <c r="H42" s="4">
        <v>6.6666666666666693E-2</v>
      </c>
      <c r="I42" s="4">
        <v>40</v>
      </c>
      <c r="J42" s="4">
        <v>7.4999999999999997E-2</v>
      </c>
      <c r="K42" s="4">
        <v>0.141666666666667</v>
      </c>
      <c r="L42" s="4">
        <v>1</v>
      </c>
      <c r="M42" s="4">
        <v>6.25E-2</v>
      </c>
      <c r="N42" s="4">
        <v>6.25E-2</v>
      </c>
      <c r="O42" s="4">
        <v>0.125</v>
      </c>
      <c r="P42" s="4">
        <f>LN(F42)</f>
        <v>1.0986122886681098</v>
      </c>
      <c r="Q42" s="4">
        <f>LN(L42)</f>
        <v>0</v>
      </c>
    </row>
    <row r="43" spans="1:17" s="4" customFormat="1" x14ac:dyDescent="0.25">
      <c r="A43" s="4">
        <v>42</v>
      </c>
      <c r="B43" s="4">
        <v>159</v>
      </c>
      <c r="C43" s="4" t="s">
        <v>38</v>
      </c>
      <c r="D43" s="4" t="s">
        <v>19</v>
      </c>
      <c r="E43" s="4" t="s">
        <v>61</v>
      </c>
      <c r="F43" s="4">
        <v>1</v>
      </c>
      <c r="G43" s="4">
        <v>45</v>
      </c>
      <c r="H43" s="4">
        <v>2.2222222222222199E-2</v>
      </c>
      <c r="I43" s="4">
        <v>228</v>
      </c>
      <c r="J43" s="4">
        <v>4.3859649122806998E-3</v>
      </c>
      <c r="K43" s="4">
        <v>2.66081871345029E-2</v>
      </c>
      <c r="L43" s="4">
        <v>1</v>
      </c>
      <c r="M43" s="4">
        <v>6.25E-2</v>
      </c>
      <c r="N43" s="4">
        <v>1.16279069767442E-2</v>
      </c>
      <c r="O43" s="4">
        <v>7.4127906976744207E-2</v>
      </c>
      <c r="P43" s="4">
        <f>LN(F43)</f>
        <v>0</v>
      </c>
      <c r="Q43" s="4">
        <f>LN(L43)</f>
        <v>0</v>
      </c>
    </row>
    <row r="44" spans="1:17" s="7" customFormat="1" x14ac:dyDescent="0.25">
      <c r="A44" s="5">
        <v>43</v>
      </c>
      <c r="B44" s="5">
        <v>183</v>
      </c>
      <c r="C44" s="5" t="s">
        <v>25</v>
      </c>
      <c r="D44" s="5" t="s">
        <v>26</v>
      </c>
      <c r="E44" s="5"/>
      <c r="F44" s="5">
        <v>105</v>
      </c>
      <c r="G44" s="5">
        <v>121</v>
      </c>
      <c r="H44" s="5">
        <v>0.86776859504132198</v>
      </c>
      <c r="I44" s="5">
        <v>107</v>
      </c>
      <c r="J44" s="5">
        <v>0.98130841121495305</v>
      </c>
      <c r="K44" s="5">
        <v>1.84907700625628</v>
      </c>
      <c r="L44" s="5">
        <v>38</v>
      </c>
      <c r="M44" s="5">
        <v>0.82608695652173902</v>
      </c>
      <c r="N44" s="5">
        <v>0.97435897435897401</v>
      </c>
      <c r="O44" s="5">
        <v>1.8004459308807099</v>
      </c>
      <c r="P44" s="5">
        <f>LN(F44)</f>
        <v>4.6539603501575231</v>
      </c>
      <c r="Q44" s="5">
        <f>LN(L44)</f>
        <v>3.6375861597263857</v>
      </c>
    </row>
    <row r="45" spans="1:17" s="7" customFormat="1" x14ac:dyDescent="0.25">
      <c r="A45" s="5">
        <v>44</v>
      </c>
      <c r="B45" s="5">
        <v>78</v>
      </c>
      <c r="C45" s="5" t="s">
        <v>25</v>
      </c>
      <c r="D45" s="5" t="s">
        <v>46</v>
      </c>
      <c r="E45" s="5"/>
      <c r="F45" s="5">
        <v>16</v>
      </c>
      <c r="G45" s="5">
        <v>121</v>
      </c>
      <c r="H45" s="5">
        <v>0.13223140495867799</v>
      </c>
      <c r="I45" s="5">
        <v>220</v>
      </c>
      <c r="J45" s="5">
        <v>7.2727272727272696E-2</v>
      </c>
      <c r="K45" s="5">
        <v>0.20495867768595</v>
      </c>
      <c r="L45" s="5">
        <v>8</v>
      </c>
      <c r="M45" s="5">
        <v>0.173913043478261</v>
      </c>
      <c r="N45" s="5">
        <v>0.10126582278481</v>
      </c>
      <c r="O45" s="5">
        <v>0.27517886626307098</v>
      </c>
      <c r="P45" s="5">
        <f>LN(F45)</f>
        <v>2.7725887222397811</v>
      </c>
      <c r="Q45" s="5">
        <f>LN(L45)</f>
        <v>2.0794415416798357</v>
      </c>
    </row>
    <row r="46" spans="1:17" s="7" customFormat="1" x14ac:dyDescent="0.25">
      <c r="A46" s="5">
        <v>45</v>
      </c>
      <c r="B46" s="5">
        <v>50</v>
      </c>
      <c r="C46" s="5" t="s">
        <v>20</v>
      </c>
      <c r="D46" s="5" t="s">
        <v>21</v>
      </c>
      <c r="E46" s="5"/>
      <c r="F46" s="5">
        <v>13239</v>
      </c>
      <c r="G46" s="5">
        <v>14583</v>
      </c>
      <c r="H46" s="5">
        <v>0.90783789343756405</v>
      </c>
      <c r="I46" s="5">
        <v>13644</v>
      </c>
      <c r="J46" s="5">
        <v>0.97031662269129304</v>
      </c>
      <c r="K46" s="5">
        <v>1.87815451612886</v>
      </c>
      <c r="L46" s="5">
        <v>3333</v>
      </c>
      <c r="M46" s="5">
        <v>0.89838274932614604</v>
      </c>
      <c r="N46" s="5">
        <v>0.971720116618076</v>
      </c>
      <c r="O46" s="5">
        <v>1.87010286594422</v>
      </c>
      <c r="P46" s="5">
        <f>LN(F46)</f>
        <v>9.4909222979376562</v>
      </c>
      <c r="Q46" s="5">
        <f>LN(L46)</f>
        <v>8.1116280783077404</v>
      </c>
    </row>
    <row r="47" spans="1:17" s="5" customFormat="1" x14ac:dyDescent="0.25">
      <c r="A47" s="5">
        <v>46</v>
      </c>
      <c r="B47" s="5">
        <v>120</v>
      </c>
      <c r="C47" s="5" t="s">
        <v>20</v>
      </c>
      <c r="D47" s="5" t="s">
        <v>29</v>
      </c>
      <c r="F47" s="5">
        <v>906</v>
      </c>
      <c r="G47" s="5">
        <v>14583</v>
      </c>
      <c r="H47" s="5">
        <v>6.2127134334499103E-2</v>
      </c>
      <c r="I47" s="5">
        <v>5305</v>
      </c>
      <c r="J47" s="5">
        <v>0.17078228086710701</v>
      </c>
      <c r="K47" s="5">
        <v>0.23290941520160599</v>
      </c>
      <c r="L47" s="5">
        <v>211</v>
      </c>
      <c r="M47" s="5">
        <v>5.6873315363881398E-2</v>
      </c>
      <c r="N47" s="5">
        <v>0.17957446808510599</v>
      </c>
      <c r="O47" s="5">
        <v>0.23644778344898801</v>
      </c>
      <c r="P47" s="5">
        <f>LN(F47)</f>
        <v>6.8090393060429797</v>
      </c>
      <c r="Q47" s="5">
        <f>LN(L47)</f>
        <v>5.3518581334760666</v>
      </c>
    </row>
    <row r="48" spans="1:17" s="5" customFormat="1" x14ac:dyDescent="0.25">
      <c r="A48" s="5">
        <v>47</v>
      </c>
      <c r="B48" s="5">
        <v>29</v>
      </c>
      <c r="C48" s="5" t="s">
        <v>20</v>
      </c>
      <c r="D48" s="5" t="s">
        <v>31</v>
      </c>
      <c r="F48" s="5">
        <v>105</v>
      </c>
      <c r="G48" s="5">
        <v>14583</v>
      </c>
      <c r="H48" s="5">
        <v>7.2001645751902897E-3</v>
      </c>
      <c r="I48" s="5">
        <v>3924</v>
      </c>
      <c r="J48" s="5">
        <v>2.6758409785932701E-2</v>
      </c>
      <c r="K48" s="5">
        <v>3.3958574361122998E-2</v>
      </c>
      <c r="L48" s="5">
        <v>52</v>
      </c>
      <c r="M48" s="5">
        <v>1.40161725067385E-2</v>
      </c>
      <c r="N48" s="5">
        <v>2.70551508844953E-2</v>
      </c>
      <c r="O48" s="5">
        <v>4.1071323391233899E-2</v>
      </c>
      <c r="P48" s="5">
        <f>LN(F48)</f>
        <v>4.6539603501575231</v>
      </c>
      <c r="Q48" s="5">
        <f>LN(L48)</f>
        <v>3.9512437185814275</v>
      </c>
    </row>
    <row r="49" spans="1:17" s="5" customFormat="1" x14ac:dyDescent="0.25">
      <c r="A49" s="5">
        <v>48</v>
      </c>
      <c r="B49" s="5">
        <v>64</v>
      </c>
      <c r="C49" s="5" t="s">
        <v>20</v>
      </c>
      <c r="D49" s="5" t="s">
        <v>59</v>
      </c>
      <c r="F49" s="5">
        <v>71</v>
      </c>
      <c r="G49" s="5">
        <v>14583</v>
      </c>
      <c r="H49" s="5">
        <v>4.8686827127477203E-3</v>
      </c>
      <c r="I49" s="5">
        <v>258</v>
      </c>
      <c r="J49" s="5">
        <v>0.275193798449612</v>
      </c>
      <c r="K49" s="5">
        <v>0.28006248116235999</v>
      </c>
      <c r="L49" s="5">
        <v>25</v>
      </c>
      <c r="M49" s="5">
        <v>6.7385444743935296E-3</v>
      </c>
      <c r="N49" s="5">
        <v>0.28735632183908</v>
      </c>
      <c r="O49" s="5">
        <v>0.29409486631347398</v>
      </c>
      <c r="P49" s="5">
        <f>LN(F49)</f>
        <v>4.2626798770413155</v>
      </c>
      <c r="Q49" s="5">
        <f>LN(L49)</f>
        <v>3.2188758248682006</v>
      </c>
    </row>
    <row r="50" spans="1:17" s="5" customFormat="1" x14ac:dyDescent="0.25">
      <c r="A50" s="5">
        <v>49</v>
      </c>
      <c r="B50" s="5">
        <v>23</v>
      </c>
      <c r="C50" s="5" t="s">
        <v>20</v>
      </c>
      <c r="D50" s="5" t="s">
        <v>48</v>
      </c>
      <c r="F50" s="5">
        <v>46</v>
      </c>
      <c r="G50" s="5">
        <v>14583</v>
      </c>
      <c r="H50" s="5">
        <v>3.1543578138928901E-3</v>
      </c>
      <c r="I50" s="5">
        <v>636</v>
      </c>
      <c r="J50" s="5">
        <v>7.2327044025157203E-2</v>
      </c>
      <c r="K50" s="5">
        <v>7.5481401839050097E-2</v>
      </c>
      <c r="L50" s="5">
        <v>23</v>
      </c>
      <c r="M50" s="5">
        <v>6.1994609164420502E-3</v>
      </c>
      <c r="N50" s="5">
        <v>7.3015873015873006E-2</v>
      </c>
      <c r="O50" s="5">
        <v>7.9215333932315099E-2</v>
      </c>
      <c r="P50" s="5">
        <f>LN(F50)</f>
        <v>3.8286413964890951</v>
      </c>
      <c r="Q50" s="5">
        <f>LN(L50)</f>
        <v>3.1354942159291497</v>
      </c>
    </row>
    <row r="51" spans="1:17" s="5" customFormat="1" x14ac:dyDescent="0.25">
      <c r="A51" s="5">
        <v>50</v>
      </c>
      <c r="B51" s="5">
        <v>143</v>
      </c>
      <c r="C51" s="5" t="s">
        <v>20</v>
      </c>
      <c r="D51" s="5" t="s">
        <v>35</v>
      </c>
      <c r="F51" s="5">
        <v>44</v>
      </c>
      <c r="G51" s="5">
        <v>14583</v>
      </c>
      <c r="H51" s="5">
        <v>3.0172118219845001E-3</v>
      </c>
      <c r="I51" s="5">
        <v>2533</v>
      </c>
      <c r="J51" s="5">
        <v>1.73707066719305E-2</v>
      </c>
      <c r="K51" s="5">
        <v>2.0387918493915001E-2</v>
      </c>
      <c r="P51" s="5">
        <f>LN(F51)</f>
        <v>3.784189633918261</v>
      </c>
    </row>
    <row r="52" spans="1:17" s="5" customFormat="1" x14ac:dyDescent="0.25">
      <c r="A52" s="5">
        <v>51</v>
      </c>
      <c r="B52" s="5">
        <v>153</v>
      </c>
      <c r="C52" s="5" t="s">
        <v>20</v>
      </c>
      <c r="D52" s="5" t="s">
        <v>56</v>
      </c>
      <c r="F52" s="5">
        <v>42</v>
      </c>
      <c r="G52" s="5">
        <v>14583</v>
      </c>
      <c r="H52" s="5">
        <v>2.88006583007612E-3</v>
      </c>
      <c r="I52" s="5">
        <v>244</v>
      </c>
      <c r="J52" s="5">
        <v>0.17213114754098399</v>
      </c>
      <c r="K52" s="5">
        <v>0.17501121337105999</v>
      </c>
      <c r="L52" s="5">
        <v>16</v>
      </c>
      <c r="M52" s="5">
        <v>4.3126684636118602E-3</v>
      </c>
      <c r="N52" s="5">
        <v>0.188235294117647</v>
      </c>
      <c r="O52" s="5">
        <v>0.192547962581259</v>
      </c>
      <c r="P52" s="5">
        <f>LN(F52)</f>
        <v>3.7376696182833684</v>
      </c>
      <c r="Q52" s="5">
        <f>LN(L52)</f>
        <v>2.7725887222397811</v>
      </c>
    </row>
    <row r="53" spans="1:17" s="5" customFormat="1" x14ac:dyDescent="0.25">
      <c r="A53" s="5">
        <v>52</v>
      </c>
      <c r="B53" s="5">
        <v>1</v>
      </c>
      <c r="C53" s="5" t="s">
        <v>20</v>
      </c>
      <c r="D53" s="5" t="s">
        <v>52</v>
      </c>
      <c r="F53" s="5">
        <v>39</v>
      </c>
      <c r="G53" s="5">
        <v>14583</v>
      </c>
      <c r="H53" s="5">
        <v>2.67434684221354E-3</v>
      </c>
      <c r="I53" s="5">
        <v>62</v>
      </c>
      <c r="J53" s="5">
        <v>0.62903225806451601</v>
      </c>
      <c r="K53" s="5">
        <v>0.63170660490673003</v>
      </c>
      <c r="L53" s="5">
        <v>17</v>
      </c>
      <c r="M53" s="5">
        <v>4.5822102425875999E-3</v>
      </c>
      <c r="N53" s="5">
        <v>0.73913043478260898</v>
      </c>
      <c r="O53" s="5">
        <v>0.74371264502519596</v>
      </c>
      <c r="P53" s="5">
        <f>LN(F53)</f>
        <v>3.6635616461296463</v>
      </c>
      <c r="Q53" s="5">
        <f>LN(L53)</f>
        <v>2.8332133440562162</v>
      </c>
    </row>
    <row r="54" spans="1:17" s="5" customFormat="1" x14ac:dyDescent="0.25">
      <c r="A54" s="5">
        <v>53</v>
      </c>
      <c r="B54" s="5">
        <v>87</v>
      </c>
      <c r="C54" s="5" t="s">
        <v>20</v>
      </c>
      <c r="D54" s="5" t="s">
        <v>55</v>
      </c>
      <c r="F54" s="5">
        <v>24</v>
      </c>
      <c r="G54" s="5">
        <v>14583</v>
      </c>
      <c r="H54" s="5">
        <v>1.6457519029006401E-3</v>
      </c>
      <c r="I54" s="5">
        <v>41</v>
      </c>
      <c r="J54" s="5">
        <v>0.58536585365853699</v>
      </c>
      <c r="K54" s="5">
        <v>0.58701160556143706</v>
      </c>
      <c r="L54" s="5">
        <v>8</v>
      </c>
      <c r="M54" s="5">
        <v>2.1563342318059301E-3</v>
      </c>
      <c r="N54" s="5">
        <v>0.53333333333333299</v>
      </c>
      <c r="O54" s="5">
        <v>0.53548966756513905</v>
      </c>
      <c r="P54" s="5">
        <f>LN(F54)</f>
        <v>3.1780538303479458</v>
      </c>
      <c r="Q54" s="5">
        <f>LN(L54)</f>
        <v>2.0794415416798357</v>
      </c>
    </row>
    <row r="55" spans="1:17" s="5" customFormat="1" x14ac:dyDescent="0.25">
      <c r="A55" s="5">
        <v>54</v>
      </c>
      <c r="B55" s="5">
        <v>76</v>
      </c>
      <c r="C55" s="5" t="s">
        <v>20</v>
      </c>
      <c r="D55" s="5" t="s">
        <v>46</v>
      </c>
      <c r="F55" s="5">
        <v>17</v>
      </c>
      <c r="G55" s="5">
        <v>14583</v>
      </c>
      <c r="H55" s="5">
        <v>1.1657409312212899E-3</v>
      </c>
      <c r="I55" s="5">
        <v>220</v>
      </c>
      <c r="J55" s="5">
        <v>7.7272727272727298E-2</v>
      </c>
      <c r="K55" s="5">
        <v>7.8438468203948494E-2</v>
      </c>
      <c r="L55" s="5">
        <v>6</v>
      </c>
      <c r="M55" s="5">
        <v>1.6172506738544501E-3</v>
      </c>
      <c r="N55" s="5">
        <v>7.5949367088607597E-2</v>
      </c>
      <c r="O55" s="5">
        <v>7.7566617762462001E-2</v>
      </c>
      <c r="P55" s="5">
        <f>LN(F55)</f>
        <v>2.8332133440562162</v>
      </c>
      <c r="Q55" s="5">
        <f>LN(L55)</f>
        <v>1.791759469228055</v>
      </c>
    </row>
    <row r="56" spans="1:17" s="5" customFormat="1" x14ac:dyDescent="0.25">
      <c r="A56" s="5">
        <v>55</v>
      </c>
      <c r="B56" s="5">
        <v>113</v>
      </c>
      <c r="C56" s="5" t="s">
        <v>20</v>
      </c>
      <c r="D56" s="5" t="s">
        <v>58</v>
      </c>
      <c r="F56" s="5">
        <v>12</v>
      </c>
      <c r="G56" s="5">
        <v>14583</v>
      </c>
      <c r="H56" s="5">
        <v>8.2287595145031896E-4</v>
      </c>
      <c r="I56" s="5">
        <v>28</v>
      </c>
      <c r="J56" s="5">
        <v>0.42857142857142899</v>
      </c>
      <c r="K56" s="5">
        <v>0.42939430452287902</v>
      </c>
      <c r="L56" s="5">
        <v>6</v>
      </c>
      <c r="M56" s="5">
        <v>1.6172506738544501E-3</v>
      </c>
      <c r="N56" s="5">
        <v>0.46153846153846201</v>
      </c>
      <c r="O56" s="5">
        <v>0.463155712212316</v>
      </c>
      <c r="P56" s="5">
        <f>LN(F56)</f>
        <v>2.4849066497880004</v>
      </c>
      <c r="Q56" s="5">
        <f>LN(L56)</f>
        <v>1.791759469228055</v>
      </c>
    </row>
    <row r="57" spans="1:17" s="5" customFormat="1" x14ac:dyDescent="0.25">
      <c r="A57" s="5">
        <v>56</v>
      </c>
      <c r="B57" s="5">
        <v>166</v>
      </c>
      <c r="C57" s="5" t="s">
        <v>20</v>
      </c>
      <c r="D57" s="5" t="s">
        <v>28</v>
      </c>
      <c r="F57" s="5">
        <v>11</v>
      </c>
      <c r="G57" s="5">
        <v>14583</v>
      </c>
      <c r="H57" s="5">
        <v>7.54302955496126E-4</v>
      </c>
      <c r="I57" s="5">
        <v>586</v>
      </c>
      <c r="J57" s="5">
        <v>1.87713310580205E-2</v>
      </c>
      <c r="K57" s="5">
        <v>1.9525634013516601E-2</v>
      </c>
      <c r="L57" s="5">
        <v>4</v>
      </c>
      <c r="M57" s="5">
        <v>1.07816711590297E-3</v>
      </c>
      <c r="N57" s="5">
        <v>1.7316017316017299E-2</v>
      </c>
      <c r="O57" s="5">
        <v>1.8394184431920299E-2</v>
      </c>
      <c r="P57" s="5">
        <f>LN(F57)</f>
        <v>2.3978952727983707</v>
      </c>
      <c r="Q57" s="5">
        <f>LN(L57)</f>
        <v>1.3862943611198906</v>
      </c>
    </row>
    <row r="58" spans="1:17" s="5" customFormat="1" x14ac:dyDescent="0.25">
      <c r="A58" s="5">
        <v>57</v>
      </c>
      <c r="B58" s="5">
        <v>38</v>
      </c>
      <c r="C58" s="5" t="s">
        <v>20</v>
      </c>
      <c r="D58" s="5" t="s">
        <v>24</v>
      </c>
      <c r="F58" s="5">
        <v>7</v>
      </c>
      <c r="G58" s="5">
        <v>14583</v>
      </c>
      <c r="H58" s="5">
        <v>4.8001097167935298E-4</v>
      </c>
      <c r="I58" s="5">
        <v>2287</v>
      </c>
      <c r="J58" s="5">
        <v>3.0607783121993901E-3</v>
      </c>
      <c r="K58" s="5">
        <v>3.5407892838787399E-3</v>
      </c>
      <c r="L58" s="5">
        <v>2</v>
      </c>
      <c r="M58" s="5">
        <v>5.3908355795148296E-4</v>
      </c>
      <c r="N58" s="5">
        <v>3.3057851239669399E-3</v>
      </c>
      <c r="O58" s="5">
        <v>3.8448686819184202E-3</v>
      </c>
      <c r="P58" s="5">
        <f>LN(F58)</f>
        <v>1.9459101490553132</v>
      </c>
      <c r="Q58" s="5">
        <f>LN(L58)</f>
        <v>0.69314718055994529</v>
      </c>
    </row>
    <row r="59" spans="1:17" s="5" customFormat="1" x14ac:dyDescent="0.25">
      <c r="A59" s="5">
        <v>58</v>
      </c>
      <c r="B59" s="5">
        <v>102</v>
      </c>
      <c r="C59" s="5" t="s">
        <v>20</v>
      </c>
      <c r="D59" s="5" t="s">
        <v>22</v>
      </c>
      <c r="F59" s="5">
        <v>6</v>
      </c>
      <c r="G59" s="5">
        <v>14583</v>
      </c>
      <c r="H59" s="5">
        <v>4.1143797572515899E-4</v>
      </c>
      <c r="I59" s="5">
        <v>1139</v>
      </c>
      <c r="J59" s="5">
        <v>5.2677787532923598E-3</v>
      </c>
      <c r="K59" s="5">
        <v>5.6792167290175199E-3</v>
      </c>
      <c r="L59" s="5">
        <v>2</v>
      </c>
      <c r="M59" s="5">
        <v>5.3908355795148296E-4</v>
      </c>
      <c r="N59" s="5">
        <v>4.9504950495049497E-3</v>
      </c>
      <c r="O59" s="5">
        <v>5.4895786074564299E-3</v>
      </c>
      <c r="P59" s="5">
        <f>LN(F59)</f>
        <v>1.791759469228055</v>
      </c>
      <c r="Q59" s="5">
        <f>LN(L59)</f>
        <v>0.69314718055994529</v>
      </c>
    </row>
    <row r="60" spans="1:17" s="5" customFormat="1" x14ac:dyDescent="0.25">
      <c r="A60" s="5">
        <v>59</v>
      </c>
      <c r="B60" s="5">
        <v>17</v>
      </c>
      <c r="C60" s="5" t="s">
        <v>20</v>
      </c>
      <c r="D60" s="5" t="s">
        <v>57</v>
      </c>
      <c r="F60" s="5">
        <v>4</v>
      </c>
      <c r="G60" s="5">
        <v>14583</v>
      </c>
      <c r="H60" s="5">
        <v>2.7429198381677302E-4</v>
      </c>
      <c r="I60" s="5">
        <v>113</v>
      </c>
      <c r="J60" s="5">
        <v>3.5398230088495602E-2</v>
      </c>
      <c r="K60" s="5">
        <v>3.56725220723123E-2</v>
      </c>
      <c r="L60" s="5">
        <v>2</v>
      </c>
      <c r="M60" s="5">
        <v>5.3908355795148296E-4</v>
      </c>
      <c r="N60" s="5">
        <v>0.08</v>
      </c>
      <c r="O60" s="5">
        <v>8.0539083557951502E-2</v>
      </c>
      <c r="P60" s="5">
        <f>LN(F60)</f>
        <v>1.3862943611198906</v>
      </c>
      <c r="Q60" s="5">
        <f>LN(L60)</f>
        <v>0.69314718055994529</v>
      </c>
    </row>
    <row r="61" spans="1:17" s="5" customFormat="1" x14ac:dyDescent="0.25">
      <c r="A61" s="5">
        <v>60</v>
      </c>
      <c r="B61" s="5">
        <v>174</v>
      </c>
      <c r="C61" s="5" t="s">
        <v>20</v>
      </c>
      <c r="D61" s="5" t="s">
        <v>33</v>
      </c>
      <c r="F61" s="5">
        <v>4</v>
      </c>
      <c r="G61" s="5">
        <v>14583</v>
      </c>
      <c r="H61" s="5">
        <v>2.7429198381677302E-4</v>
      </c>
      <c r="I61" s="5">
        <v>4779</v>
      </c>
      <c r="J61" s="5">
        <v>8.3699518727767296E-4</v>
      </c>
      <c r="K61" s="5">
        <v>1.1112871710944501E-3</v>
      </c>
      <c r="P61" s="5">
        <f>LN(F61)</f>
        <v>1.3862943611198906</v>
      </c>
    </row>
    <row r="62" spans="1:17" s="5" customFormat="1" x14ac:dyDescent="0.25">
      <c r="A62" s="5">
        <v>61</v>
      </c>
      <c r="B62" s="5">
        <v>112</v>
      </c>
      <c r="C62" s="5" t="s">
        <v>20</v>
      </c>
      <c r="D62" s="5" t="s">
        <v>51</v>
      </c>
      <c r="F62" s="5">
        <v>2</v>
      </c>
      <c r="G62" s="5">
        <v>14583</v>
      </c>
      <c r="H62" s="5">
        <v>1.37145991908386E-4</v>
      </c>
      <c r="I62" s="5">
        <v>24</v>
      </c>
      <c r="J62" s="5">
        <v>8.3333333333333301E-2</v>
      </c>
      <c r="K62" s="5">
        <v>8.3470479325241695E-2</v>
      </c>
      <c r="L62" s="5">
        <v>1</v>
      </c>
      <c r="M62" s="5">
        <v>2.6954177897574099E-4</v>
      </c>
      <c r="N62" s="5">
        <v>0.125</v>
      </c>
      <c r="O62" s="5">
        <v>0.12526954177897601</v>
      </c>
      <c r="P62" s="5">
        <f>LN(F62)</f>
        <v>0.69314718055994529</v>
      </c>
      <c r="Q62" s="5">
        <f>LN(L62)</f>
        <v>0</v>
      </c>
    </row>
    <row r="63" spans="1:17" s="5" customFormat="1" x14ac:dyDescent="0.25">
      <c r="A63" s="5">
        <v>62</v>
      </c>
      <c r="B63" s="5">
        <v>136</v>
      </c>
      <c r="C63" s="5" t="s">
        <v>20</v>
      </c>
      <c r="D63" s="5" t="s">
        <v>53</v>
      </c>
      <c r="F63" s="5">
        <v>2</v>
      </c>
      <c r="G63" s="5">
        <v>14583</v>
      </c>
      <c r="H63" s="5">
        <v>1.37145991908386E-4</v>
      </c>
      <c r="I63" s="5">
        <v>10</v>
      </c>
      <c r="J63" s="5">
        <v>0.2</v>
      </c>
      <c r="K63" s="5">
        <v>0.20013714599190799</v>
      </c>
      <c r="L63" s="5">
        <v>1</v>
      </c>
      <c r="M63" s="5">
        <v>2.6954177897574099E-4</v>
      </c>
      <c r="N63" s="5">
        <v>0.25</v>
      </c>
      <c r="O63" s="5">
        <v>0.25026954177897598</v>
      </c>
      <c r="P63" s="5">
        <f>LN(F63)</f>
        <v>0.69314718055994529</v>
      </c>
      <c r="Q63" s="5">
        <f>LN(L63)</f>
        <v>0</v>
      </c>
    </row>
    <row r="64" spans="1:17" s="5" customFormat="1" x14ac:dyDescent="0.25">
      <c r="A64" s="5">
        <v>63</v>
      </c>
      <c r="B64" s="5">
        <v>160</v>
      </c>
      <c r="C64" s="5" t="s">
        <v>20</v>
      </c>
      <c r="D64" s="5" t="s">
        <v>19</v>
      </c>
      <c r="F64" s="5">
        <v>1</v>
      </c>
      <c r="G64" s="5">
        <v>14583</v>
      </c>
      <c r="H64" s="8">
        <v>6.8572995954193202E-5</v>
      </c>
      <c r="I64" s="5">
        <v>228</v>
      </c>
      <c r="J64" s="5">
        <v>4.3859649122806998E-3</v>
      </c>
      <c r="K64" s="5">
        <v>4.4545379082349002E-3</v>
      </c>
      <c r="P64" s="5">
        <f>LN(F64)</f>
        <v>0</v>
      </c>
    </row>
    <row r="65" spans="1:17" s="5" customFormat="1" x14ac:dyDescent="0.25">
      <c r="A65" s="5">
        <v>64</v>
      </c>
      <c r="B65" s="5">
        <v>162</v>
      </c>
      <c r="C65" s="5" t="s">
        <v>20</v>
      </c>
      <c r="D65" s="5" t="s">
        <v>45</v>
      </c>
      <c r="F65" s="5">
        <v>1</v>
      </c>
      <c r="G65" s="5">
        <v>14583</v>
      </c>
      <c r="H65" s="8">
        <v>6.8572995954193202E-5</v>
      </c>
      <c r="I65" s="5">
        <v>19</v>
      </c>
      <c r="J65" s="5">
        <v>5.2631578947368397E-2</v>
      </c>
      <c r="K65" s="5">
        <v>5.2700151943322601E-2</v>
      </c>
      <c r="L65" s="5">
        <v>1</v>
      </c>
      <c r="M65" s="5">
        <v>2.6954177897574099E-4</v>
      </c>
      <c r="N65" s="5">
        <v>0.125</v>
      </c>
      <c r="O65" s="5">
        <v>0.12526954177897601</v>
      </c>
      <c r="P65" s="5">
        <f>LN(F65)</f>
        <v>0</v>
      </c>
      <c r="Q65" s="5">
        <f>LN(L65)</f>
        <v>0</v>
      </c>
    </row>
    <row r="66" spans="1:17" s="5" customFormat="1" x14ac:dyDescent="0.25">
      <c r="A66" s="5">
        <v>65</v>
      </c>
      <c r="B66" s="5">
        <v>186</v>
      </c>
      <c r="C66" s="5" t="s">
        <v>47</v>
      </c>
      <c r="D66" s="5" t="s">
        <v>42</v>
      </c>
      <c r="F66" s="5">
        <v>812</v>
      </c>
      <c r="G66" s="5">
        <v>1165</v>
      </c>
      <c r="H66" s="5">
        <v>0.69699570815450596</v>
      </c>
      <c r="I66" s="5">
        <v>3128</v>
      </c>
      <c r="J66" s="5">
        <v>0.25959079283887498</v>
      </c>
      <c r="K66" s="5">
        <v>0.95658650099338105</v>
      </c>
      <c r="L66" s="5">
        <v>237</v>
      </c>
      <c r="M66" s="5">
        <v>0.73602484472049701</v>
      </c>
      <c r="N66" s="5">
        <v>0.52087912087912103</v>
      </c>
      <c r="O66" s="5">
        <v>1.2569039655996199</v>
      </c>
      <c r="P66" s="5">
        <f>LN(F66)</f>
        <v>6.6995003401616779</v>
      </c>
      <c r="Q66" s="5">
        <f>LN(L66)</f>
        <v>5.4680601411351315</v>
      </c>
    </row>
    <row r="67" spans="1:17" s="5" customFormat="1" x14ac:dyDescent="0.25">
      <c r="A67" s="5">
        <v>66</v>
      </c>
      <c r="B67" s="5">
        <v>36</v>
      </c>
      <c r="C67" s="5" t="s">
        <v>47</v>
      </c>
      <c r="D67" s="5" t="s">
        <v>24</v>
      </c>
      <c r="F67" s="5">
        <v>81</v>
      </c>
      <c r="G67" s="5">
        <v>1165</v>
      </c>
      <c r="H67" s="5">
        <v>6.9527896995708202E-2</v>
      </c>
      <c r="I67" s="5">
        <v>2287</v>
      </c>
      <c r="J67" s="5">
        <v>3.5417577612592899E-2</v>
      </c>
      <c r="K67" s="5">
        <v>0.104945474608301</v>
      </c>
      <c r="L67" s="5">
        <v>18</v>
      </c>
      <c r="M67" s="5">
        <v>5.5900621118012403E-2</v>
      </c>
      <c r="N67" s="5">
        <v>2.97520661157025E-2</v>
      </c>
      <c r="O67" s="5">
        <v>8.56526872337149E-2</v>
      </c>
      <c r="P67" s="5">
        <f>LN(F67)</f>
        <v>4.3944491546724391</v>
      </c>
      <c r="Q67" s="5">
        <f>LN(L67)</f>
        <v>2.8903717578961645</v>
      </c>
    </row>
    <row r="68" spans="1:17" s="5" customFormat="1" x14ac:dyDescent="0.25">
      <c r="A68" s="5">
        <v>67</v>
      </c>
      <c r="B68" s="5">
        <v>121</v>
      </c>
      <c r="C68" s="5" t="s">
        <v>47</v>
      </c>
      <c r="D68" s="5" t="s">
        <v>29</v>
      </c>
      <c r="F68" s="5">
        <v>60</v>
      </c>
      <c r="G68" s="5">
        <v>1165</v>
      </c>
      <c r="H68" s="5">
        <v>5.1502145922746802E-2</v>
      </c>
      <c r="I68" s="5">
        <v>5305</v>
      </c>
      <c r="J68" s="5">
        <v>1.13100848256362E-2</v>
      </c>
      <c r="K68" s="5">
        <v>6.2812230748383005E-2</v>
      </c>
      <c r="L68" s="5">
        <v>18</v>
      </c>
      <c r="M68" s="5">
        <v>5.5900621118012403E-2</v>
      </c>
      <c r="N68" s="5">
        <v>1.53191489361702E-2</v>
      </c>
      <c r="O68" s="5">
        <v>7.1219770054182605E-2</v>
      </c>
      <c r="P68" s="5">
        <f>LN(F68)</f>
        <v>4.0943445622221004</v>
      </c>
      <c r="Q68" s="5">
        <f>LN(L68)</f>
        <v>2.8903717578961645</v>
      </c>
    </row>
    <row r="69" spans="1:17" s="5" customFormat="1" x14ac:dyDescent="0.25">
      <c r="A69" s="5">
        <v>68</v>
      </c>
      <c r="B69" s="5">
        <v>65</v>
      </c>
      <c r="C69" s="5" t="s">
        <v>47</v>
      </c>
      <c r="D69" s="5" t="s">
        <v>59</v>
      </c>
      <c r="F69" s="5">
        <v>53</v>
      </c>
      <c r="G69" s="5">
        <v>1165</v>
      </c>
      <c r="H69" s="5">
        <v>4.5493562231759703E-2</v>
      </c>
      <c r="I69" s="5">
        <v>258</v>
      </c>
      <c r="J69" s="5">
        <v>0.20542635658914701</v>
      </c>
      <c r="K69" s="5">
        <v>0.25091991882090697</v>
      </c>
      <c r="L69" s="5">
        <v>19</v>
      </c>
      <c r="M69" s="5">
        <v>5.9006211180124203E-2</v>
      </c>
      <c r="N69" s="5">
        <v>0.21839080459770099</v>
      </c>
      <c r="O69" s="5">
        <v>0.277397015777825</v>
      </c>
      <c r="P69" s="5">
        <f>LN(F69)</f>
        <v>3.970291913552122</v>
      </c>
      <c r="Q69" s="5">
        <f>LN(L69)</f>
        <v>2.9444389791664403</v>
      </c>
    </row>
    <row r="70" spans="1:17" s="5" customFormat="1" x14ac:dyDescent="0.25">
      <c r="A70" s="5">
        <v>69</v>
      </c>
      <c r="B70" s="5">
        <v>142</v>
      </c>
      <c r="C70" s="5" t="s">
        <v>47</v>
      </c>
      <c r="D70" s="5" t="s">
        <v>35</v>
      </c>
      <c r="F70" s="5">
        <v>49</v>
      </c>
      <c r="G70" s="5">
        <v>1165</v>
      </c>
      <c r="H70" s="5">
        <v>4.20600858369099E-2</v>
      </c>
      <c r="I70" s="5">
        <v>2533</v>
      </c>
      <c r="J70" s="5">
        <v>1.9344650611922601E-2</v>
      </c>
      <c r="K70" s="5">
        <v>6.14047364488325E-2</v>
      </c>
      <c r="L70" s="5">
        <v>5</v>
      </c>
      <c r="M70" s="5">
        <v>1.5527950310559001E-2</v>
      </c>
      <c r="N70" s="5">
        <v>3.5211267605633798E-2</v>
      </c>
      <c r="O70" s="5">
        <v>5.0739217916192798E-2</v>
      </c>
      <c r="P70" s="5">
        <f>LN(F70)</f>
        <v>3.8918202981106265</v>
      </c>
      <c r="Q70" s="5">
        <f>LN(L70)</f>
        <v>1.6094379124341003</v>
      </c>
    </row>
    <row r="71" spans="1:17" s="5" customFormat="1" x14ac:dyDescent="0.25">
      <c r="A71" s="4">
        <v>70</v>
      </c>
      <c r="B71" s="4">
        <v>15</v>
      </c>
      <c r="C71" s="4" t="s">
        <v>47</v>
      </c>
      <c r="D71" s="4" t="s">
        <v>57</v>
      </c>
      <c r="E71" s="4" t="s">
        <v>61</v>
      </c>
      <c r="F71" s="4">
        <v>38</v>
      </c>
      <c r="G71" s="4">
        <v>1165</v>
      </c>
      <c r="H71" s="4">
        <v>3.2618025751072997E-2</v>
      </c>
      <c r="I71" s="4">
        <v>113</v>
      </c>
      <c r="J71" s="4">
        <v>0.33628318584070799</v>
      </c>
      <c r="K71" s="4">
        <v>0.36890121159178102</v>
      </c>
      <c r="L71" s="4">
        <v>5</v>
      </c>
      <c r="M71" s="4">
        <v>1.5527950310559001E-2</v>
      </c>
      <c r="N71" s="4">
        <v>0.2</v>
      </c>
      <c r="O71" s="4">
        <v>0.21552795031055899</v>
      </c>
      <c r="P71" s="4">
        <f>LN(F71)</f>
        <v>3.6375861597263857</v>
      </c>
      <c r="Q71" s="4">
        <f>LN(L71)</f>
        <v>1.6094379124341003</v>
      </c>
    </row>
    <row r="72" spans="1:17" s="5" customFormat="1" x14ac:dyDescent="0.25">
      <c r="A72" s="4">
        <v>71</v>
      </c>
      <c r="B72" s="4">
        <v>172</v>
      </c>
      <c r="C72" s="4" t="s">
        <v>47</v>
      </c>
      <c r="D72" s="4" t="s">
        <v>33</v>
      </c>
      <c r="E72" s="4" t="s">
        <v>61</v>
      </c>
      <c r="F72" s="4">
        <v>29</v>
      </c>
      <c r="G72" s="4">
        <v>1165</v>
      </c>
      <c r="H72" s="4">
        <v>2.48927038626609E-2</v>
      </c>
      <c r="I72" s="4">
        <v>4779</v>
      </c>
      <c r="J72" s="4">
        <v>6.0682151077631301E-3</v>
      </c>
      <c r="K72" s="4">
        <v>3.0960918970424099E-2</v>
      </c>
      <c r="L72" s="4">
        <v>7</v>
      </c>
      <c r="M72" s="4">
        <v>2.1739130434782601E-2</v>
      </c>
      <c r="N72" s="4">
        <v>1.17056856187291E-2</v>
      </c>
      <c r="O72" s="4">
        <v>3.3444816053511697E-2</v>
      </c>
      <c r="P72" s="4">
        <f>LN(F72)</f>
        <v>3.3672958299864741</v>
      </c>
      <c r="Q72" s="4">
        <f>LN(L72)</f>
        <v>1.9459101490553132</v>
      </c>
    </row>
    <row r="73" spans="1:17" s="5" customFormat="1" x14ac:dyDescent="0.25">
      <c r="A73" s="5">
        <v>72</v>
      </c>
      <c r="B73" s="5">
        <v>79</v>
      </c>
      <c r="C73" s="5" t="s">
        <v>47</v>
      </c>
      <c r="D73" s="5" t="s">
        <v>46</v>
      </c>
      <c r="F73" s="5">
        <v>10</v>
      </c>
      <c r="G73" s="5">
        <v>1165</v>
      </c>
      <c r="H73" s="5">
        <v>8.58369098712446E-3</v>
      </c>
      <c r="I73" s="5">
        <v>220</v>
      </c>
      <c r="J73" s="5">
        <v>4.5454545454545497E-2</v>
      </c>
      <c r="K73" s="5">
        <v>5.4038236441669898E-2</v>
      </c>
      <c r="L73" s="5">
        <v>3</v>
      </c>
      <c r="M73" s="5">
        <v>9.3167701863354005E-3</v>
      </c>
      <c r="N73" s="5">
        <v>3.7974683544303799E-2</v>
      </c>
      <c r="O73" s="5">
        <v>4.7291453730639199E-2</v>
      </c>
      <c r="P73" s="5">
        <f>LN(F73)</f>
        <v>2.3025850929940459</v>
      </c>
      <c r="Q73" s="5">
        <f>LN(L73)</f>
        <v>1.0986122886681098</v>
      </c>
    </row>
    <row r="74" spans="1:17" s="5" customFormat="1" x14ac:dyDescent="0.25">
      <c r="A74" s="5">
        <v>73</v>
      </c>
      <c r="B74" s="5">
        <v>44</v>
      </c>
      <c r="C74" s="5" t="s">
        <v>47</v>
      </c>
      <c r="D74" s="5" t="s">
        <v>50</v>
      </c>
      <c r="F74" s="5">
        <v>6</v>
      </c>
      <c r="G74" s="5">
        <v>1165</v>
      </c>
      <c r="H74" s="5">
        <v>5.15021459227468E-3</v>
      </c>
      <c r="I74" s="5">
        <v>40</v>
      </c>
      <c r="J74" s="5">
        <v>0.15</v>
      </c>
      <c r="K74" s="5">
        <v>0.15515021459227499</v>
      </c>
      <c r="L74" s="5">
        <v>2</v>
      </c>
      <c r="M74" s="5">
        <v>6.2111801242236003E-3</v>
      </c>
      <c r="N74" s="5">
        <v>0.125</v>
      </c>
      <c r="O74" s="5">
        <v>0.131211180124224</v>
      </c>
      <c r="P74" s="5">
        <f>LN(F74)</f>
        <v>1.791759469228055</v>
      </c>
      <c r="Q74" s="5">
        <f>LN(L74)</f>
        <v>0.69314718055994529</v>
      </c>
    </row>
    <row r="75" spans="1:17" s="5" customFormat="1" x14ac:dyDescent="0.25">
      <c r="A75" s="5">
        <v>74</v>
      </c>
      <c r="B75" s="5">
        <v>89</v>
      </c>
      <c r="C75" s="5" t="s">
        <v>47</v>
      </c>
      <c r="D75" s="5" t="s">
        <v>55</v>
      </c>
      <c r="F75" s="5">
        <v>6</v>
      </c>
      <c r="G75" s="5">
        <v>1165</v>
      </c>
      <c r="H75" s="5">
        <v>5.15021459227468E-3</v>
      </c>
      <c r="I75" s="5">
        <v>41</v>
      </c>
      <c r="J75" s="5">
        <v>0.146341463414634</v>
      </c>
      <c r="K75" s="5">
        <v>0.15149167800690899</v>
      </c>
      <c r="L75" s="5">
        <v>2</v>
      </c>
      <c r="M75" s="5">
        <v>6.2111801242236003E-3</v>
      </c>
      <c r="N75" s="5">
        <v>0.133333333333333</v>
      </c>
      <c r="O75" s="5">
        <v>0.139544513457557</v>
      </c>
      <c r="P75" s="5">
        <f>LN(F75)</f>
        <v>1.791759469228055</v>
      </c>
      <c r="Q75" s="5">
        <f>LN(L75)</f>
        <v>0.69314718055994529</v>
      </c>
    </row>
    <row r="76" spans="1:17" s="5" customFormat="1" x14ac:dyDescent="0.25">
      <c r="A76" s="3">
        <v>75</v>
      </c>
      <c r="B76" s="3">
        <v>103</v>
      </c>
      <c r="C76" s="3" t="s">
        <v>47</v>
      </c>
      <c r="D76" s="3" t="s">
        <v>22</v>
      </c>
      <c r="E76" s="3" t="s">
        <v>63</v>
      </c>
      <c r="F76" s="3">
        <v>6</v>
      </c>
      <c r="G76" s="3">
        <v>1165</v>
      </c>
      <c r="H76" s="3">
        <v>5.15021459227468E-3</v>
      </c>
      <c r="I76" s="3">
        <v>1139</v>
      </c>
      <c r="J76" s="3">
        <v>5.2677787532923598E-3</v>
      </c>
      <c r="K76" s="3">
        <v>1.0417993345567001E-2</v>
      </c>
      <c r="L76" s="3">
        <v>2</v>
      </c>
      <c r="M76" s="3">
        <v>6.2111801242236003E-3</v>
      </c>
      <c r="N76" s="3">
        <v>4.9504950495049497E-3</v>
      </c>
      <c r="O76" s="3">
        <v>1.11616751737286E-2</v>
      </c>
      <c r="P76" s="3">
        <f>LN(F76)</f>
        <v>1.791759469228055</v>
      </c>
      <c r="Q76" s="3">
        <f>LN(L76)</f>
        <v>0.69314718055994529</v>
      </c>
    </row>
    <row r="77" spans="1:17" s="5" customFormat="1" x14ac:dyDescent="0.25">
      <c r="A77" s="5">
        <v>76</v>
      </c>
      <c r="B77" s="5">
        <v>135</v>
      </c>
      <c r="C77" s="5" t="s">
        <v>47</v>
      </c>
      <c r="D77" s="5" t="s">
        <v>53</v>
      </c>
      <c r="F77" s="5">
        <v>6</v>
      </c>
      <c r="G77" s="5">
        <v>1165</v>
      </c>
      <c r="H77" s="5">
        <v>5.15021459227468E-3</v>
      </c>
      <c r="I77" s="5">
        <v>10</v>
      </c>
      <c r="J77" s="5">
        <v>0.6</v>
      </c>
      <c r="K77" s="5">
        <v>0.60515021459227503</v>
      </c>
      <c r="L77" s="5">
        <v>2</v>
      </c>
      <c r="M77" s="5">
        <v>6.2111801242236003E-3</v>
      </c>
      <c r="N77" s="5">
        <v>0.5</v>
      </c>
      <c r="O77" s="5">
        <v>0.50621118012422395</v>
      </c>
      <c r="P77" s="5">
        <f>LN(F77)</f>
        <v>1.791759469228055</v>
      </c>
      <c r="Q77" s="5">
        <f>LN(L77)</f>
        <v>0.69314718055994529</v>
      </c>
    </row>
    <row r="78" spans="1:17" s="5" customFormat="1" x14ac:dyDescent="0.25">
      <c r="A78" s="5">
        <v>77</v>
      </c>
      <c r="B78" s="5">
        <v>58</v>
      </c>
      <c r="C78" s="5" t="s">
        <v>47</v>
      </c>
      <c r="D78" s="5" t="s">
        <v>21</v>
      </c>
      <c r="F78" s="5">
        <v>4</v>
      </c>
      <c r="G78" s="5">
        <v>1165</v>
      </c>
      <c r="H78" s="5">
        <v>3.43347639484979E-3</v>
      </c>
      <c r="I78" s="5">
        <v>13644</v>
      </c>
      <c r="J78" s="5">
        <v>2.9316915860451502E-4</v>
      </c>
      <c r="K78" s="5">
        <v>3.7266455534543E-3</v>
      </c>
      <c r="L78" s="5">
        <v>1</v>
      </c>
      <c r="M78" s="5">
        <v>3.1055900621118002E-3</v>
      </c>
      <c r="N78" s="5">
        <v>2.9154518950437301E-4</v>
      </c>
      <c r="O78" s="5">
        <v>3.3971352516161701E-3</v>
      </c>
      <c r="P78" s="5">
        <f>LN(F78)</f>
        <v>1.3862943611198906</v>
      </c>
      <c r="Q78" s="5">
        <f>LN(L78)</f>
        <v>0</v>
      </c>
    </row>
    <row r="79" spans="1:17" s="5" customFormat="1" x14ac:dyDescent="0.25">
      <c r="A79" s="5">
        <v>78</v>
      </c>
      <c r="B79" s="5">
        <v>116</v>
      </c>
      <c r="C79" s="5" t="s">
        <v>47</v>
      </c>
      <c r="D79" s="5" t="s">
        <v>58</v>
      </c>
      <c r="F79" s="5">
        <v>2</v>
      </c>
      <c r="G79" s="5">
        <v>1165</v>
      </c>
      <c r="H79" s="5">
        <v>1.71673819742489E-3</v>
      </c>
      <c r="I79" s="5">
        <v>28</v>
      </c>
      <c r="J79" s="5">
        <v>7.1428571428571397E-2</v>
      </c>
      <c r="K79" s="5">
        <v>7.3145309625996302E-2</v>
      </c>
      <c r="L79" s="5">
        <v>1</v>
      </c>
      <c r="M79" s="5">
        <v>3.1055900621118002E-3</v>
      </c>
      <c r="N79" s="5">
        <v>7.69230769230769E-2</v>
      </c>
      <c r="O79" s="5">
        <v>8.0028666985188707E-2</v>
      </c>
      <c r="P79" s="5">
        <f>LN(F79)</f>
        <v>0.69314718055994529</v>
      </c>
      <c r="Q79" s="5">
        <f>LN(L79)</f>
        <v>0</v>
      </c>
    </row>
    <row r="80" spans="1:17" s="5" customFormat="1" x14ac:dyDescent="0.25">
      <c r="A80" s="7">
        <v>79</v>
      </c>
      <c r="B80" s="7">
        <v>168</v>
      </c>
      <c r="C80" s="7" t="s">
        <v>47</v>
      </c>
      <c r="D80" s="7" t="s">
        <v>28</v>
      </c>
      <c r="E80" s="7" t="s">
        <v>62</v>
      </c>
      <c r="F80" s="7">
        <v>2</v>
      </c>
      <c r="G80" s="7">
        <v>1165</v>
      </c>
      <c r="H80" s="7">
        <v>1.71673819742489E-3</v>
      </c>
      <c r="I80" s="7">
        <v>586</v>
      </c>
      <c r="J80" s="7">
        <v>3.4129692832764501E-3</v>
      </c>
      <c r="K80" s="7">
        <v>5.1297074807013397E-3</v>
      </c>
      <c r="L80" s="7"/>
      <c r="M80" s="7"/>
      <c r="N80" s="7"/>
      <c r="O80" s="7"/>
      <c r="P80" s="7">
        <f>LN(F80)</f>
        <v>0.69314718055994529</v>
      </c>
      <c r="Q80" s="7"/>
    </row>
    <row r="81" spans="1:17" s="5" customFormat="1" x14ac:dyDescent="0.25">
      <c r="A81" s="7">
        <v>80</v>
      </c>
      <c r="B81" s="7">
        <v>97</v>
      </c>
      <c r="C81" s="7" t="s">
        <v>47</v>
      </c>
      <c r="D81" s="7" t="s">
        <v>40</v>
      </c>
      <c r="E81" s="7" t="s">
        <v>62</v>
      </c>
      <c r="F81" s="7">
        <v>1</v>
      </c>
      <c r="G81" s="7">
        <v>1165</v>
      </c>
      <c r="H81" s="7">
        <v>8.5836909871244598E-4</v>
      </c>
      <c r="I81" s="7">
        <v>879</v>
      </c>
      <c r="J81" s="7">
        <v>1.13765642775882E-3</v>
      </c>
      <c r="K81" s="7">
        <v>1.99602552647126E-3</v>
      </c>
      <c r="L81" s="7"/>
      <c r="M81" s="7"/>
      <c r="N81" s="7"/>
      <c r="O81" s="7"/>
      <c r="P81" s="7">
        <f>LN(F81)</f>
        <v>0</v>
      </c>
      <c r="Q81" s="7"/>
    </row>
    <row r="82" spans="1:17" s="5" customFormat="1" x14ac:dyDescent="0.25">
      <c r="A82" s="5">
        <v>81</v>
      </c>
      <c r="B82" s="5">
        <v>73</v>
      </c>
      <c r="C82" s="5" t="s">
        <v>46</v>
      </c>
      <c r="D82" s="5" t="s">
        <v>46</v>
      </c>
      <c r="F82" s="5">
        <v>77</v>
      </c>
      <c r="G82" s="5">
        <v>126</v>
      </c>
      <c r="H82" s="5">
        <v>0.61111111111111105</v>
      </c>
      <c r="I82" s="5">
        <v>220</v>
      </c>
      <c r="J82" s="5">
        <v>0.35</v>
      </c>
      <c r="K82" s="5">
        <v>0.96111111111111103</v>
      </c>
      <c r="L82" s="5">
        <v>29</v>
      </c>
      <c r="M82" s="5">
        <v>0.61702127659574502</v>
      </c>
      <c r="N82" s="5">
        <v>0.367088607594937</v>
      </c>
      <c r="O82" s="5">
        <v>0.98410988419068102</v>
      </c>
      <c r="P82" s="5">
        <f>LN(F82)</f>
        <v>4.3438054218536841</v>
      </c>
      <c r="Q82" s="5">
        <f>LN(L82)</f>
        <v>3.3672958299864741</v>
      </c>
    </row>
    <row r="83" spans="1:17" s="5" customFormat="1" x14ac:dyDescent="0.25">
      <c r="A83" s="5">
        <v>82</v>
      </c>
      <c r="B83" s="5">
        <v>192</v>
      </c>
      <c r="C83" s="5" t="s">
        <v>46</v>
      </c>
      <c r="D83" s="5" t="s">
        <v>42</v>
      </c>
      <c r="F83" s="5">
        <v>23</v>
      </c>
      <c r="G83" s="5">
        <v>126</v>
      </c>
      <c r="H83" s="5">
        <v>0.182539682539683</v>
      </c>
      <c r="I83" s="5">
        <v>3128</v>
      </c>
      <c r="J83" s="5">
        <v>7.3529411764705899E-3</v>
      </c>
      <c r="K83" s="5">
        <v>0.18989262371615301</v>
      </c>
      <c r="L83" s="5">
        <v>8</v>
      </c>
      <c r="M83" s="5">
        <v>0.170212765957447</v>
      </c>
      <c r="N83" s="5">
        <v>1.75824175824176E-2</v>
      </c>
      <c r="O83" s="5">
        <v>0.18779518353986399</v>
      </c>
      <c r="P83" s="5">
        <f>LN(F83)</f>
        <v>3.1354942159291497</v>
      </c>
      <c r="Q83" s="5">
        <f>LN(L83)</f>
        <v>2.0794415416798357</v>
      </c>
    </row>
    <row r="84" spans="1:17" s="5" customFormat="1" x14ac:dyDescent="0.25">
      <c r="A84" s="5">
        <v>83</v>
      </c>
      <c r="B84" s="5">
        <v>57</v>
      </c>
      <c r="C84" s="5" t="s">
        <v>46</v>
      </c>
      <c r="D84" s="5" t="s">
        <v>21</v>
      </c>
      <c r="F84" s="5">
        <v>6</v>
      </c>
      <c r="G84" s="5">
        <v>126</v>
      </c>
      <c r="H84" s="5">
        <v>4.7619047619047603E-2</v>
      </c>
      <c r="I84" s="5">
        <v>13644</v>
      </c>
      <c r="J84" s="5">
        <v>4.3975373790677201E-4</v>
      </c>
      <c r="K84" s="5">
        <v>4.8058801356954402E-2</v>
      </c>
      <c r="L84" s="5">
        <v>2</v>
      </c>
      <c r="M84" s="5">
        <v>4.2553191489361701E-2</v>
      </c>
      <c r="N84" s="5">
        <v>5.8309037900874602E-4</v>
      </c>
      <c r="O84" s="5">
        <v>4.3136281868370499E-2</v>
      </c>
      <c r="P84" s="5">
        <f>LN(F84)</f>
        <v>1.791759469228055</v>
      </c>
      <c r="Q84" s="5">
        <f>LN(L84)</f>
        <v>0.69314718055994529</v>
      </c>
    </row>
    <row r="85" spans="1:17" s="5" customFormat="1" x14ac:dyDescent="0.25">
      <c r="A85" s="5">
        <v>84</v>
      </c>
      <c r="B85" s="5">
        <v>175</v>
      </c>
      <c r="C85" s="5" t="s">
        <v>46</v>
      </c>
      <c r="D85" s="5" t="s">
        <v>33</v>
      </c>
      <c r="F85" s="5">
        <v>4</v>
      </c>
      <c r="G85" s="5">
        <v>126</v>
      </c>
      <c r="H85" s="5">
        <v>3.1746031746031703E-2</v>
      </c>
      <c r="I85" s="5">
        <v>4779</v>
      </c>
      <c r="J85" s="5">
        <v>8.3699518727767296E-4</v>
      </c>
      <c r="K85" s="5">
        <v>3.2583026933309403E-2</v>
      </c>
      <c r="L85" s="5">
        <v>2</v>
      </c>
      <c r="M85" s="5">
        <v>4.2553191489361701E-2</v>
      </c>
      <c r="N85" s="5">
        <v>3.3444816053511701E-3</v>
      </c>
      <c r="O85" s="5">
        <v>4.5897673094712897E-2</v>
      </c>
      <c r="P85" s="5">
        <f>LN(F85)</f>
        <v>1.3862943611198906</v>
      </c>
      <c r="Q85" s="5">
        <f>LN(L85)</f>
        <v>0.69314718055994529</v>
      </c>
    </row>
    <row r="86" spans="1:17" s="5" customFormat="1" x14ac:dyDescent="0.25">
      <c r="A86" s="5">
        <v>85</v>
      </c>
      <c r="B86" s="5">
        <v>72</v>
      </c>
      <c r="C86" s="5" t="s">
        <v>46</v>
      </c>
      <c r="D86" s="5" t="s">
        <v>59</v>
      </c>
      <c r="F86" s="5">
        <v>3</v>
      </c>
      <c r="G86" s="5">
        <v>126</v>
      </c>
      <c r="H86" s="5">
        <v>2.3809523809523801E-2</v>
      </c>
      <c r="I86" s="5">
        <v>258</v>
      </c>
      <c r="J86" s="5">
        <v>1.16279069767442E-2</v>
      </c>
      <c r="K86" s="5">
        <v>3.5437430786268001E-2</v>
      </c>
      <c r="L86" s="5">
        <v>1</v>
      </c>
      <c r="M86" s="5">
        <v>2.1276595744680899E-2</v>
      </c>
      <c r="N86" s="5">
        <v>1.1494252873563199E-2</v>
      </c>
      <c r="O86" s="5">
        <v>3.27708486182441E-2</v>
      </c>
      <c r="P86" s="5">
        <f>LN(F86)</f>
        <v>1.0986122886681098</v>
      </c>
      <c r="Q86" s="5">
        <f>LN(L86)</f>
        <v>0</v>
      </c>
    </row>
    <row r="87" spans="1:17" s="5" customFormat="1" x14ac:dyDescent="0.25">
      <c r="A87" s="5">
        <v>86</v>
      </c>
      <c r="B87" s="5">
        <v>93</v>
      </c>
      <c r="C87" s="5" t="s">
        <v>46</v>
      </c>
      <c r="D87" s="5" t="s">
        <v>40</v>
      </c>
      <c r="F87" s="5">
        <v>3</v>
      </c>
      <c r="G87" s="5">
        <v>126</v>
      </c>
      <c r="H87" s="5">
        <v>2.3809523809523801E-2</v>
      </c>
      <c r="I87" s="5">
        <v>879</v>
      </c>
      <c r="J87" s="5">
        <v>3.4129692832764501E-3</v>
      </c>
      <c r="K87" s="5">
        <v>2.7222493092800299E-2</v>
      </c>
      <c r="L87" s="5">
        <v>1</v>
      </c>
      <c r="M87" s="5">
        <v>2.1276595744680899E-2</v>
      </c>
      <c r="N87" s="5">
        <v>3.7174721189591098E-3</v>
      </c>
      <c r="O87" s="5">
        <v>2.4994067863640002E-2</v>
      </c>
      <c r="P87" s="5">
        <f>LN(F87)</f>
        <v>1.0986122886681098</v>
      </c>
      <c r="Q87" s="5">
        <f>LN(L87)</f>
        <v>0</v>
      </c>
    </row>
    <row r="88" spans="1:17" s="5" customFormat="1" x14ac:dyDescent="0.25">
      <c r="A88" s="5">
        <v>87</v>
      </c>
      <c r="B88" s="5">
        <v>111</v>
      </c>
      <c r="C88" s="5" t="s">
        <v>46</v>
      </c>
      <c r="D88" s="5" t="s">
        <v>51</v>
      </c>
      <c r="F88" s="5">
        <v>3</v>
      </c>
      <c r="G88" s="5">
        <v>126</v>
      </c>
      <c r="H88" s="5">
        <v>2.3809523809523801E-2</v>
      </c>
      <c r="I88" s="5">
        <v>24</v>
      </c>
      <c r="J88" s="5">
        <v>0.125</v>
      </c>
      <c r="K88" s="5">
        <v>0.148809523809524</v>
      </c>
      <c r="L88" s="5">
        <v>1</v>
      </c>
      <c r="M88" s="5">
        <v>2.1276595744680899E-2</v>
      </c>
      <c r="N88" s="5">
        <v>0.125</v>
      </c>
      <c r="O88" s="5">
        <v>0.14627659574468099</v>
      </c>
      <c r="P88" s="5">
        <f>LN(F88)</f>
        <v>1.0986122886681098</v>
      </c>
      <c r="Q88" s="5">
        <f>LN(L88)</f>
        <v>0</v>
      </c>
    </row>
    <row r="89" spans="1:17" s="5" customFormat="1" x14ac:dyDescent="0.25">
      <c r="A89" s="5">
        <v>88</v>
      </c>
      <c r="B89" s="5">
        <v>131</v>
      </c>
      <c r="C89" s="5" t="s">
        <v>46</v>
      </c>
      <c r="D89" s="5" t="s">
        <v>29</v>
      </c>
      <c r="F89" s="5">
        <v>3</v>
      </c>
      <c r="G89" s="5">
        <v>126</v>
      </c>
      <c r="H89" s="5">
        <v>2.3809523809523801E-2</v>
      </c>
      <c r="I89" s="5">
        <v>5305</v>
      </c>
      <c r="J89" s="5">
        <v>5.6550424128180995E-4</v>
      </c>
      <c r="K89" s="5">
        <v>2.4375028050805599E-2</v>
      </c>
      <c r="L89" s="5">
        <v>1</v>
      </c>
      <c r="M89" s="5">
        <v>2.1276595744680899E-2</v>
      </c>
      <c r="N89" s="5">
        <v>8.5106382978723403E-4</v>
      </c>
      <c r="O89" s="5">
        <v>2.2127659574468099E-2</v>
      </c>
      <c r="P89" s="5">
        <f>LN(F89)</f>
        <v>1.0986122886681098</v>
      </c>
      <c r="Q89" s="5">
        <f>LN(L89)</f>
        <v>0</v>
      </c>
    </row>
    <row r="90" spans="1:17" s="5" customFormat="1" x14ac:dyDescent="0.25">
      <c r="A90" s="5">
        <v>89</v>
      </c>
      <c r="B90" s="5">
        <v>4</v>
      </c>
      <c r="C90" s="5" t="s">
        <v>46</v>
      </c>
      <c r="D90" s="5" t="s">
        <v>52</v>
      </c>
      <c r="F90" s="5">
        <v>2</v>
      </c>
      <c r="G90" s="5">
        <v>126</v>
      </c>
      <c r="H90" s="5">
        <v>1.58730158730159E-2</v>
      </c>
      <c r="I90" s="5">
        <v>62</v>
      </c>
      <c r="J90" s="5">
        <v>3.2258064516128997E-2</v>
      </c>
      <c r="K90" s="5">
        <v>4.8131080389144897E-2</v>
      </c>
      <c r="L90" s="5">
        <v>1</v>
      </c>
      <c r="M90" s="5">
        <v>2.1276595744680899E-2</v>
      </c>
      <c r="N90" s="5">
        <v>4.3478260869565202E-2</v>
      </c>
      <c r="O90" s="5">
        <v>6.4754856614246098E-2</v>
      </c>
      <c r="P90" s="5">
        <f>LN(F90)</f>
        <v>0.69314718055994529</v>
      </c>
      <c r="Q90" s="5">
        <f>LN(L90)</f>
        <v>0</v>
      </c>
    </row>
    <row r="91" spans="1:17" s="5" customFormat="1" x14ac:dyDescent="0.25">
      <c r="A91" s="5">
        <v>90</v>
      </c>
      <c r="B91" s="5">
        <v>169</v>
      </c>
      <c r="C91" s="5" t="s">
        <v>46</v>
      </c>
      <c r="D91" s="5" t="s">
        <v>28</v>
      </c>
      <c r="F91" s="5">
        <v>2</v>
      </c>
      <c r="G91" s="5">
        <v>126</v>
      </c>
      <c r="H91" s="5">
        <v>1.58730158730159E-2</v>
      </c>
      <c r="I91" s="5">
        <v>586</v>
      </c>
      <c r="J91" s="5">
        <v>3.4129692832764501E-3</v>
      </c>
      <c r="K91" s="5">
        <v>1.9285985156292301E-2</v>
      </c>
      <c r="L91" s="5">
        <v>1</v>
      </c>
      <c r="M91" s="5">
        <v>2.1276595744680899E-2</v>
      </c>
      <c r="N91" s="5">
        <v>4.3290043290043299E-3</v>
      </c>
      <c r="O91" s="5">
        <v>2.5605600073685199E-2</v>
      </c>
      <c r="P91" s="5">
        <f>LN(F91)</f>
        <v>0.69314718055994529</v>
      </c>
      <c r="Q91" s="5">
        <f>LN(L91)</f>
        <v>0</v>
      </c>
    </row>
    <row r="92" spans="1:17" s="5" customFormat="1" x14ac:dyDescent="0.25">
      <c r="A92" s="5">
        <v>91</v>
      </c>
      <c r="B92" s="5">
        <v>46</v>
      </c>
      <c r="C92" s="5" t="s">
        <v>36</v>
      </c>
      <c r="D92" s="5" t="s">
        <v>37</v>
      </c>
      <c r="F92" s="5">
        <v>20</v>
      </c>
      <c r="G92" s="5">
        <v>23</v>
      </c>
      <c r="H92" s="5">
        <v>0.86956521739130399</v>
      </c>
      <c r="I92" s="5">
        <v>27</v>
      </c>
      <c r="J92" s="5">
        <v>0.74074074074074103</v>
      </c>
      <c r="K92" s="5">
        <v>1.61030595813205</v>
      </c>
      <c r="L92" s="5">
        <v>8</v>
      </c>
      <c r="M92" s="5">
        <v>0.88888888888888895</v>
      </c>
      <c r="N92" s="5">
        <v>0.8</v>
      </c>
      <c r="O92" s="5">
        <v>1.68888888888889</v>
      </c>
      <c r="P92" s="5">
        <f>LN(F92)</f>
        <v>2.9957322735539909</v>
      </c>
      <c r="Q92" s="5">
        <f>LN(L92)</f>
        <v>2.0794415416798357</v>
      </c>
    </row>
    <row r="93" spans="1:17" s="5" customFormat="1" x14ac:dyDescent="0.25">
      <c r="A93" s="3">
        <v>92</v>
      </c>
      <c r="B93" s="3">
        <v>5</v>
      </c>
      <c r="C93" s="3" t="s">
        <v>36</v>
      </c>
      <c r="D93" s="3" t="s">
        <v>52</v>
      </c>
      <c r="E93" s="3" t="s">
        <v>63</v>
      </c>
      <c r="F93" s="3">
        <v>2</v>
      </c>
      <c r="G93" s="3">
        <v>23</v>
      </c>
      <c r="H93" s="3">
        <v>8.6956521739130405E-2</v>
      </c>
      <c r="I93" s="3">
        <v>62</v>
      </c>
      <c r="J93" s="3">
        <v>3.2258064516128997E-2</v>
      </c>
      <c r="K93" s="3">
        <v>0.11921458625525901</v>
      </c>
      <c r="L93" s="3">
        <v>1</v>
      </c>
      <c r="M93" s="3">
        <v>0.11111111111111099</v>
      </c>
      <c r="N93" s="3">
        <v>4.3478260869565202E-2</v>
      </c>
      <c r="O93" s="3">
        <v>0.15458937198067599</v>
      </c>
      <c r="P93" s="3">
        <f>LN(F93)</f>
        <v>0.69314718055994529</v>
      </c>
      <c r="Q93" s="3">
        <f>LN(L93)</f>
        <v>0</v>
      </c>
    </row>
    <row r="94" spans="1:17" s="5" customFormat="1" x14ac:dyDescent="0.25">
      <c r="A94" s="4">
        <v>93</v>
      </c>
      <c r="B94" s="4">
        <v>108</v>
      </c>
      <c r="C94" s="4" t="s">
        <v>36</v>
      </c>
      <c r="D94" s="4" t="s">
        <v>22</v>
      </c>
      <c r="E94" s="4" t="s">
        <v>61</v>
      </c>
      <c r="F94" s="4">
        <v>1</v>
      </c>
      <c r="G94" s="4">
        <v>23</v>
      </c>
      <c r="H94" s="4">
        <v>4.3478260869565202E-2</v>
      </c>
      <c r="I94" s="4">
        <v>1139</v>
      </c>
      <c r="J94" s="4">
        <v>8.7796312554872696E-4</v>
      </c>
      <c r="K94" s="4">
        <v>4.4356223995113901E-2</v>
      </c>
      <c r="L94" s="4"/>
      <c r="M94" s="4"/>
      <c r="N94" s="4"/>
      <c r="O94" s="4"/>
      <c r="P94" s="4">
        <f>LN(F94)</f>
        <v>0</v>
      </c>
      <c r="Q94" s="4"/>
    </row>
    <row r="95" spans="1:17" s="5" customFormat="1" x14ac:dyDescent="0.25">
      <c r="A95" s="5">
        <v>94</v>
      </c>
      <c r="B95" s="5">
        <v>92</v>
      </c>
      <c r="C95" s="5" t="s">
        <v>41</v>
      </c>
      <c r="D95" s="5" t="s">
        <v>40</v>
      </c>
      <c r="F95" s="5">
        <v>330</v>
      </c>
      <c r="G95" s="5">
        <v>451</v>
      </c>
      <c r="H95" s="5">
        <v>0.73170731707317105</v>
      </c>
      <c r="I95" s="5">
        <v>879</v>
      </c>
      <c r="J95" s="5">
        <v>0.37542662116040998</v>
      </c>
      <c r="K95" s="5">
        <v>1.1071339382335801</v>
      </c>
      <c r="L95" s="5">
        <v>118</v>
      </c>
      <c r="M95" s="5">
        <v>0.71951219512195097</v>
      </c>
      <c r="N95" s="5">
        <v>0.43866171003717502</v>
      </c>
      <c r="O95" s="5">
        <v>1.15817390515913</v>
      </c>
      <c r="P95" s="5">
        <f>LN(F95)</f>
        <v>5.7990926544605257</v>
      </c>
      <c r="Q95" s="5">
        <f>LN(L95)</f>
        <v>4.7706846244656651</v>
      </c>
    </row>
    <row r="96" spans="1:17" s="5" customFormat="1" x14ac:dyDescent="0.25">
      <c r="A96" s="5">
        <v>95</v>
      </c>
      <c r="B96" s="5">
        <v>74</v>
      </c>
      <c r="C96" s="5" t="s">
        <v>41</v>
      </c>
      <c r="D96" s="5" t="s">
        <v>46</v>
      </c>
      <c r="F96" s="5">
        <v>32</v>
      </c>
      <c r="G96" s="5">
        <v>451</v>
      </c>
      <c r="H96" s="5">
        <v>7.0953436807095302E-2</v>
      </c>
      <c r="I96" s="5">
        <v>220</v>
      </c>
      <c r="J96" s="5">
        <v>0.145454545454545</v>
      </c>
      <c r="K96" s="5">
        <v>0.21640798226164101</v>
      </c>
      <c r="L96" s="5">
        <v>11</v>
      </c>
      <c r="M96" s="5">
        <v>6.7073170731707293E-2</v>
      </c>
      <c r="N96" s="5">
        <v>0.139240506329114</v>
      </c>
      <c r="O96" s="5">
        <v>0.20631367706082099</v>
      </c>
      <c r="P96" s="5">
        <f>LN(F96)</f>
        <v>3.4657359027997265</v>
      </c>
      <c r="Q96" s="5">
        <f>LN(L96)</f>
        <v>2.3978952727983707</v>
      </c>
    </row>
    <row r="97" spans="1:17" s="5" customFormat="1" x14ac:dyDescent="0.25">
      <c r="A97" s="5">
        <v>96</v>
      </c>
      <c r="B97" s="5">
        <v>52</v>
      </c>
      <c r="C97" s="5" t="s">
        <v>41</v>
      </c>
      <c r="D97" s="5" t="s">
        <v>21</v>
      </c>
      <c r="F97" s="5">
        <v>19</v>
      </c>
      <c r="G97" s="5">
        <v>451</v>
      </c>
      <c r="H97" s="5">
        <v>4.2128603104212903E-2</v>
      </c>
      <c r="I97" s="5">
        <v>13644</v>
      </c>
      <c r="J97" s="5">
        <v>1.3925535033714499E-3</v>
      </c>
      <c r="K97" s="5">
        <v>4.3521156607584301E-2</v>
      </c>
      <c r="L97" s="5">
        <v>7</v>
      </c>
      <c r="M97" s="5">
        <v>4.2682926829268303E-2</v>
      </c>
      <c r="N97" s="5">
        <v>2.0408163265306098E-3</v>
      </c>
      <c r="O97" s="5">
        <v>4.4723743155798898E-2</v>
      </c>
      <c r="P97" s="5">
        <f>LN(F97)</f>
        <v>2.9444389791664403</v>
      </c>
      <c r="Q97" s="5">
        <f>LN(L97)</f>
        <v>1.9459101490553132</v>
      </c>
    </row>
    <row r="98" spans="1:17" s="5" customFormat="1" x14ac:dyDescent="0.25">
      <c r="A98" s="5">
        <v>97</v>
      </c>
      <c r="B98" s="5">
        <v>164</v>
      </c>
      <c r="C98" s="5" t="s">
        <v>41</v>
      </c>
      <c r="D98" s="5" t="s">
        <v>28</v>
      </c>
      <c r="F98" s="5">
        <v>19</v>
      </c>
      <c r="G98" s="5">
        <v>451</v>
      </c>
      <c r="H98" s="5">
        <v>4.2128603104212903E-2</v>
      </c>
      <c r="I98" s="5">
        <v>586</v>
      </c>
      <c r="J98" s="5">
        <v>3.2423208191126297E-2</v>
      </c>
      <c r="K98" s="5">
        <v>7.4551811295339096E-2</v>
      </c>
      <c r="L98" s="5">
        <v>7</v>
      </c>
      <c r="M98" s="5">
        <v>4.2682926829268303E-2</v>
      </c>
      <c r="N98" s="5">
        <v>3.03030303030303E-2</v>
      </c>
      <c r="O98" s="5">
        <v>7.2985957132298607E-2</v>
      </c>
      <c r="P98" s="5">
        <f>LN(F98)</f>
        <v>2.9444389791664403</v>
      </c>
      <c r="Q98" s="5">
        <f>LN(L98)</f>
        <v>1.9459101490553132</v>
      </c>
    </row>
    <row r="99" spans="1:17" s="5" customFormat="1" x14ac:dyDescent="0.25">
      <c r="A99" s="5">
        <v>98</v>
      </c>
      <c r="B99" s="5">
        <v>30</v>
      </c>
      <c r="C99" s="5" t="s">
        <v>41</v>
      </c>
      <c r="D99" s="5" t="s">
        <v>31</v>
      </c>
      <c r="F99" s="5">
        <v>12</v>
      </c>
      <c r="G99" s="5">
        <v>451</v>
      </c>
      <c r="H99" s="5">
        <v>2.6607538802660799E-2</v>
      </c>
      <c r="I99" s="5">
        <v>3924</v>
      </c>
      <c r="J99" s="5">
        <v>3.05810397553517E-3</v>
      </c>
      <c r="K99" s="5">
        <v>2.9665642778195899E-2</v>
      </c>
      <c r="L99" s="5">
        <v>6</v>
      </c>
      <c r="M99" s="5">
        <v>3.65853658536585E-2</v>
      </c>
      <c r="N99" s="5">
        <v>3.1217481789802301E-3</v>
      </c>
      <c r="O99" s="5">
        <v>3.9707114032638803E-2</v>
      </c>
      <c r="P99" s="5">
        <f>LN(F99)</f>
        <v>2.4849066497880004</v>
      </c>
      <c r="Q99" s="5">
        <f>LN(L99)</f>
        <v>1.791759469228055</v>
      </c>
    </row>
    <row r="100" spans="1:17" s="5" customFormat="1" x14ac:dyDescent="0.25">
      <c r="A100" s="5">
        <v>99</v>
      </c>
      <c r="B100" s="5">
        <v>194</v>
      </c>
      <c r="C100" s="5" t="s">
        <v>41</v>
      </c>
      <c r="D100" s="5" t="s">
        <v>42</v>
      </c>
      <c r="F100" s="5">
        <v>12</v>
      </c>
      <c r="G100" s="5">
        <v>451</v>
      </c>
      <c r="H100" s="5">
        <v>2.6607538802660799E-2</v>
      </c>
      <c r="I100" s="5">
        <v>3128</v>
      </c>
      <c r="J100" s="5">
        <v>3.8363171355498701E-3</v>
      </c>
      <c r="K100" s="5">
        <v>3.0443855938210598E-2</v>
      </c>
      <c r="L100" s="5">
        <v>4</v>
      </c>
      <c r="M100" s="5">
        <v>2.4390243902439001E-2</v>
      </c>
      <c r="N100" s="5">
        <v>8.7912087912087895E-3</v>
      </c>
      <c r="O100" s="5">
        <v>3.3181452693647799E-2</v>
      </c>
      <c r="P100" s="5">
        <f>LN(F100)</f>
        <v>2.4849066497880004</v>
      </c>
      <c r="Q100" s="5">
        <f>LN(L100)</f>
        <v>1.3862943611198906</v>
      </c>
    </row>
    <row r="101" spans="1:17" s="5" customFormat="1" x14ac:dyDescent="0.25">
      <c r="A101" s="5">
        <v>100</v>
      </c>
      <c r="B101" s="5">
        <v>24</v>
      </c>
      <c r="C101" s="5" t="s">
        <v>41</v>
      </c>
      <c r="D101" s="5" t="s">
        <v>48</v>
      </c>
      <c r="F101" s="5">
        <v>10</v>
      </c>
      <c r="G101" s="5">
        <v>451</v>
      </c>
      <c r="H101" s="5">
        <v>2.21729490022173E-2</v>
      </c>
      <c r="I101" s="5">
        <v>636</v>
      </c>
      <c r="J101" s="5">
        <v>1.57232704402516E-2</v>
      </c>
      <c r="K101" s="5">
        <v>3.7896219442468897E-2</v>
      </c>
      <c r="L101" s="5">
        <v>5</v>
      </c>
      <c r="M101" s="5">
        <v>3.0487804878048801E-2</v>
      </c>
      <c r="N101" s="5">
        <v>1.58730158730159E-2</v>
      </c>
      <c r="O101" s="5">
        <v>4.6360820751064701E-2</v>
      </c>
      <c r="P101" s="5">
        <f>LN(F101)</f>
        <v>2.3025850929940459</v>
      </c>
      <c r="Q101" s="5">
        <f>LN(L101)</f>
        <v>1.6094379124341003</v>
      </c>
    </row>
    <row r="102" spans="1:17" s="5" customFormat="1" x14ac:dyDescent="0.25">
      <c r="A102" s="5">
        <v>101</v>
      </c>
      <c r="B102" s="5">
        <v>146</v>
      </c>
      <c r="C102" s="5" t="s">
        <v>41</v>
      </c>
      <c r="D102" s="5" t="s">
        <v>35</v>
      </c>
      <c r="F102" s="5">
        <v>8</v>
      </c>
      <c r="G102" s="5">
        <v>451</v>
      </c>
      <c r="H102" s="5">
        <v>1.7738359201773801E-2</v>
      </c>
      <c r="I102" s="5">
        <v>2533</v>
      </c>
      <c r="J102" s="5">
        <v>3.1583103039873701E-3</v>
      </c>
      <c r="K102" s="5">
        <v>2.08966695057612E-2</v>
      </c>
      <c r="L102" s="5">
        <v>2</v>
      </c>
      <c r="M102" s="5">
        <v>1.21951219512195E-2</v>
      </c>
      <c r="N102" s="5">
        <v>1.4084507042253501E-2</v>
      </c>
      <c r="O102" s="5">
        <v>2.6279628993473001E-2</v>
      </c>
      <c r="P102" s="5">
        <f>LN(F102)</f>
        <v>2.0794415416798357</v>
      </c>
      <c r="Q102" s="5">
        <f>LN(L102)</f>
        <v>0.69314718055994529</v>
      </c>
    </row>
    <row r="103" spans="1:17" s="5" customFormat="1" x14ac:dyDescent="0.25">
      <c r="A103" s="5">
        <v>102</v>
      </c>
      <c r="B103" s="5">
        <v>129</v>
      </c>
      <c r="C103" s="5" t="s">
        <v>41</v>
      </c>
      <c r="D103" s="5" t="s">
        <v>29</v>
      </c>
      <c r="F103" s="5">
        <v>4</v>
      </c>
      <c r="G103" s="5">
        <v>451</v>
      </c>
      <c r="H103" s="5">
        <v>8.8691796008869197E-3</v>
      </c>
      <c r="I103" s="5">
        <v>5305</v>
      </c>
      <c r="J103" s="5">
        <v>7.5400565504241297E-4</v>
      </c>
      <c r="K103" s="5">
        <v>9.6231852559293292E-3</v>
      </c>
      <c r="L103" s="5">
        <v>2</v>
      </c>
      <c r="M103" s="5">
        <v>1.21951219512195E-2</v>
      </c>
      <c r="N103" s="5">
        <v>1.70212765957447E-3</v>
      </c>
      <c r="O103" s="5">
        <v>1.3897249610794001E-2</v>
      </c>
      <c r="P103" s="5">
        <f>LN(F103)</f>
        <v>1.3862943611198906</v>
      </c>
      <c r="Q103" s="5">
        <f>LN(L103)</f>
        <v>0.69314718055994529</v>
      </c>
    </row>
    <row r="104" spans="1:17" s="5" customFormat="1" x14ac:dyDescent="0.25">
      <c r="A104" s="5">
        <v>103</v>
      </c>
      <c r="B104" s="5">
        <v>107</v>
      </c>
      <c r="C104" s="5" t="s">
        <v>41</v>
      </c>
      <c r="D104" s="5" t="s">
        <v>22</v>
      </c>
      <c r="F104" s="5">
        <v>3</v>
      </c>
      <c r="G104" s="5">
        <v>451</v>
      </c>
      <c r="H104" s="5">
        <v>6.6518847006651902E-3</v>
      </c>
      <c r="I104" s="5">
        <v>1139</v>
      </c>
      <c r="J104" s="5">
        <v>2.6338893766461799E-3</v>
      </c>
      <c r="K104" s="5">
        <v>9.2857740773113692E-3</v>
      </c>
      <c r="L104" s="5">
        <v>1</v>
      </c>
      <c r="M104" s="5">
        <v>6.0975609756097598E-3</v>
      </c>
      <c r="N104" s="5">
        <v>2.47524752475248E-3</v>
      </c>
      <c r="O104" s="5">
        <v>8.5728085003622303E-3</v>
      </c>
      <c r="P104" s="5">
        <f>LN(F104)</f>
        <v>1.0986122886681098</v>
      </c>
      <c r="Q104" s="5">
        <f>LN(L104)</f>
        <v>0</v>
      </c>
    </row>
    <row r="105" spans="1:17" s="5" customFormat="1" x14ac:dyDescent="0.25">
      <c r="A105" s="5">
        <v>104</v>
      </c>
      <c r="B105" s="5">
        <v>133</v>
      </c>
      <c r="C105" s="5" t="s">
        <v>41</v>
      </c>
      <c r="D105" s="5" t="s">
        <v>43</v>
      </c>
      <c r="F105" s="5">
        <v>2</v>
      </c>
      <c r="G105" s="5">
        <v>451</v>
      </c>
      <c r="H105" s="5">
        <v>4.4345898004434598E-3</v>
      </c>
      <c r="I105" s="5">
        <v>50</v>
      </c>
      <c r="J105" s="5">
        <v>0.04</v>
      </c>
      <c r="K105" s="5">
        <v>4.44345898004435E-2</v>
      </c>
      <c r="L105" s="5">
        <v>1</v>
      </c>
      <c r="M105" s="5">
        <v>6.0975609756097598E-3</v>
      </c>
      <c r="N105" s="5">
        <v>4.1666666666666699E-2</v>
      </c>
      <c r="O105" s="5">
        <v>4.7764227642276398E-2</v>
      </c>
      <c r="P105" s="5">
        <f>LN(F105)</f>
        <v>0.69314718055994529</v>
      </c>
      <c r="Q105" s="5">
        <f>LN(L105)</f>
        <v>0</v>
      </c>
    </row>
    <row r="106" spans="1:17" s="5" customFormat="1" x14ac:dyDescent="0.25">
      <c r="A106" s="5">
        <v>105</v>
      </c>
      <c r="B106" s="5">
        <v>100</v>
      </c>
      <c r="C106" s="5" t="s">
        <v>22</v>
      </c>
      <c r="D106" s="5" t="s">
        <v>22</v>
      </c>
      <c r="F106" s="5">
        <v>1100</v>
      </c>
      <c r="G106" s="5">
        <v>1218</v>
      </c>
      <c r="H106" s="5">
        <v>0.90311986863711002</v>
      </c>
      <c r="I106" s="5">
        <v>1139</v>
      </c>
      <c r="J106" s="5">
        <v>0.96575943810359999</v>
      </c>
      <c r="K106" s="5">
        <v>1.8688793067407099</v>
      </c>
      <c r="L106" s="5">
        <v>393</v>
      </c>
      <c r="M106" s="5">
        <v>0.90552995391705104</v>
      </c>
      <c r="N106" s="5">
        <v>0.97277227722772297</v>
      </c>
      <c r="O106" s="5">
        <v>1.8783022311447699</v>
      </c>
      <c r="P106" s="5">
        <f>LN(F106)</f>
        <v>7.0030654587864616</v>
      </c>
      <c r="Q106" s="5">
        <f>LN(L106)</f>
        <v>5.9738096118692612</v>
      </c>
    </row>
    <row r="107" spans="1:17" s="5" customFormat="1" x14ac:dyDescent="0.25">
      <c r="A107" s="5">
        <v>106</v>
      </c>
      <c r="B107" s="5">
        <v>191</v>
      </c>
      <c r="C107" s="5" t="s">
        <v>22</v>
      </c>
      <c r="D107" s="5" t="s">
        <v>42</v>
      </c>
      <c r="F107" s="5">
        <v>32</v>
      </c>
      <c r="G107" s="5">
        <v>1218</v>
      </c>
      <c r="H107" s="5">
        <v>2.6272577996715899E-2</v>
      </c>
      <c r="I107" s="5">
        <v>3128</v>
      </c>
      <c r="J107" s="5">
        <v>1.0230179028133E-2</v>
      </c>
      <c r="K107" s="5">
        <v>3.6502757024848898E-2</v>
      </c>
      <c r="L107" s="5">
        <v>10</v>
      </c>
      <c r="M107" s="5">
        <v>2.3041474654377898E-2</v>
      </c>
      <c r="N107" s="5">
        <v>2.1978021978022001E-2</v>
      </c>
      <c r="O107" s="5">
        <v>4.5019496632399902E-2</v>
      </c>
      <c r="P107" s="5">
        <f>LN(F107)</f>
        <v>3.4657359027997265</v>
      </c>
      <c r="Q107" s="5">
        <f>LN(L107)</f>
        <v>2.3025850929940459</v>
      </c>
    </row>
    <row r="108" spans="1:17" s="5" customFormat="1" x14ac:dyDescent="0.25">
      <c r="A108" s="5">
        <v>107</v>
      </c>
      <c r="B108" s="5">
        <v>42</v>
      </c>
      <c r="C108" s="5" t="s">
        <v>22</v>
      </c>
      <c r="D108" s="5" t="s">
        <v>50</v>
      </c>
      <c r="F108" s="5">
        <v>25</v>
      </c>
      <c r="G108" s="5">
        <v>1218</v>
      </c>
      <c r="H108" s="5">
        <v>2.05254515599343E-2</v>
      </c>
      <c r="I108" s="5">
        <v>40</v>
      </c>
      <c r="J108" s="5">
        <v>0.625</v>
      </c>
      <c r="K108" s="5">
        <v>0.64552545155993402</v>
      </c>
      <c r="L108" s="5">
        <v>11</v>
      </c>
      <c r="M108" s="5">
        <v>2.5345622119815701E-2</v>
      </c>
      <c r="N108" s="5">
        <v>0.6875</v>
      </c>
      <c r="O108" s="5">
        <v>0.71284562211981595</v>
      </c>
      <c r="P108" s="5">
        <f>LN(F108)</f>
        <v>3.2188758248682006</v>
      </c>
      <c r="Q108" s="5">
        <f>LN(L108)</f>
        <v>2.3978952727983707</v>
      </c>
    </row>
    <row r="109" spans="1:17" s="5" customFormat="1" x14ac:dyDescent="0.25">
      <c r="A109" s="5">
        <v>108</v>
      </c>
      <c r="B109" s="5">
        <v>109</v>
      </c>
      <c r="C109" s="5" t="s">
        <v>22</v>
      </c>
      <c r="D109" s="5" t="s">
        <v>51</v>
      </c>
      <c r="F109" s="5">
        <v>15</v>
      </c>
      <c r="G109" s="5">
        <v>1218</v>
      </c>
      <c r="H109" s="5">
        <v>1.23152709359606E-2</v>
      </c>
      <c r="I109" s="5">
        <v>24</v>
      </c>
      <c r="J109" s="5">
        <v>0.625</v>
      </c>
      <c r="K109" s="5">
        <v>0.63731527093596096</v>
      </c>
      <c r="L109" s="5">
        <v>5</v>
      </c>
      <c r="M109" s="5">
        <v>1.1520737327188901E-2</v>
      </c>
      <c r="N109" s="5">
        <v>0.625</v>
      </c>
      <c r="O109" s="5">
        <v>0.63652073732718895</v>
      </c>
      <c r="P109" s="5">
        <f>LN(F109)</f>
        <v>2.7080502011022101</v>
      </c>
      <c r="Q109" s="5">
        <f>LN(L109)</f>
        <v>1.6094379124341003</v>
      </c>
    </row>
    <row r="110" spans="1:17" s="5" customFormat="1" x14ac:dyDescent="0.25">
      <c r="A110" s="4">
        <v>109</v>
      </c>
      <c r="B110" s="4">
        <v>69</v>
      </c>
      <c r="C110" s="4" t="s">
        <v>22</v>
      </c>
      <c r="D110" s="4" t="s">
        <v>59</v>
      </c>
      <c r="E110" s="4" t="s">
        <v>61</v>
      </c>
      <c r="F110" s="4">
        <v>14</v>
      </c>
      <c r="G110" s="4">
        <v>1218</v>
      </c>
      <c r="H110" s="4">
        <v>1.1494252873563199E-2</v>
      </c>
      <c r="I110" s="4">
        <v>258</v>
      </c>
      <c r="J110" s="4">
        <v>5.4263565891472902E-2</v>
      </c>
      <c r="K110" s="4">
        <v>6.57578187650361E-2</v>
      </c>
      <c r="L110" s="4">
        <v>4</v>
      </c>
      <c r="M110" s="4">
        <v>9.2165898617511503E-3</v>
      </c>
      <c r="N110" s="4">
        <v>4.5977011494252901E-2</v>
      </c>
      <c r="O110" s="4">
        <v>5.5193601356003999E-2</v>
      </c>
      <c r="P110" s="4">
        <f>LN(F110)</f>
        <v>2.6390573296152584</v>
      </c>
      <c r="Q110" s="4">
        <f>LN(L110)</f>
        <v>1.3862943611198906</v>
      </c>
    </row>
    <row r="111" spans="1:17" s="5" customFormat="1" x14ac:dyDescent="0.25">
      <c r="A111" s="5">
        <v>110</v>
      </c>
      <c r="B111" s="5">
        <v>80</v>
      </c>
      <c r="C111" s="5" t="s">
        <v>22</v>
      </c>
      <c r="D111" s="5" t="s">
        <v>46</v>
      </c>
      <c r="F111" s="5">
        <v>10</v>
      </c>
      <c r="G111" s="5">
        <v>1218</v>
      </c>
      <c r="H111" s="5">
        <v>8.2101806239737295E-3</v>
      </c>
      <c r="I111" s="5">
        <v>220</v>
      </c>
      <c r="J111" s="5">
        <v>4.5454545454545497E-2</v>
      </c>
      <c r="K111" s="5">
        <v>5.3664726078519201E-2</v>
      </c>
      <c r="L111" s="5">
        <v>5</v>
      </c>
      <c r="M111" s="5">
        <v>1.1520737327188901E-2</v>
      </c>
      <c r="N111" s="5">
        <v>6.3291139240506306E-2</v>
      </c>
      <c r="O111" s="5">
        <v>7.4811876567695307E-2</v>
      </c>
      <c r="P111" s="5">
        <f>LN(F111)</f>
        <v>2.3025850929940459</v>
      </c>
      <c r="Q111" s="5">
        <f>LN(L111)</f>
        <v>1.6094379124341003</v>
      </c>
    </row>
    <row r="112" spans="1:17" s="5" customFormat="1" x14ac:dyDescent="0.25">
      <c r="A112" s="5">
        <v>111</v>
      </c>
      <c r="B112" s="5">
        <v>158</v>
      </c>
      <c r="C112" s="5" t="s">
        <v>22</v>
      </c>
      <c r="D112" s="5" t="s">
        <v>19</v>
      </c>
      <c r="F112" s="5">
        <v>6</v>
      </c>
      <c r="G112" s="5">
        <v>1218</v>
      </c>
      <c r="H112" s="5">
        <v>4.92610837438424E-3</v>
      </c>
      <c r="I112" s="5">
        <v>228</v>
      </c>
      <c r="J112" s="5">
        <v>2.6315789473684199E-2</v>
      </c>
      <c r="K112" s="5">
        <v>3.1241897848068401E-2</v>
      </c>
      <c r="L112" s="5">
        <v>2</v>
      </c>
      <c r="M112" s="5">
        <v>4.6082949308755804E-3</v>
      </c>
      <c r="N112" s="5">
        <v>2.32558139534884E-2</v>
      </c>
      <c r="O112" s="5">
        <v>2.78641088843639E-2</v>
      </c>
      <c r="P112" s="5">
        <f>LN(F112)</f>
        <v>1.791759469228055</v>
      </c>
      <c r="Q112" s="5">
        <f>LN(L112)</f>
        <v>0.69314718055994529</v>
      </c>
    </row>
    <row r="113" spans="1:17" s="5" customFormat="1" x14ac:dyDescent="0.25">
      <c r="A113" s="5">
        <v>112</v>
      </c>
      <c r="B113" s="5">
        <v>130</v>
      </c>
      <c r="C113" s="5" t="s">
        <v>22</v>
      </c>
      <c r="D113" s="5" t="s">
        <v>29</v>
      </c>
      <c r="F113" s="5">
        <v>4</v>
      </c>
      <c r="G113" s="5">
        <v>1218</v>
      </c>
      <c r="H113" s="5">
        <v>3.28407224958949E-3</v>
      </c>
      <c r="I113" s="5">
        <v>5305</v>
      </c>
      <c r="J113" s="5">
        <v>7.5400565504241297E-4</v>
      </c>
      <c r="K113" s="5">
        <v>4.0380779046318999E-3</v>
      </c>
      <c r="L113" s="5">
        <v>1</v>
      </c>
      <c r="M113" s="5">
        <v>2.3041474654377902E-3</v>
      </c>
      <c r="N113" s="5">
        <v>8.5106382978723403E-4</v>
      </c>
      <c r="O113" s="5">
        <v>3.15521129522502E-3</v>
      </c>
      <c r="P113" s="5">
        <f>LN(F113)</f>
        <v>1.3862943611198906</v>
      </c>
      <c r="Q113" s="5">
        <f>LN(L113)</f>
        <v>0</v>
      </c>
    </row>
    <row r="114" spans="1:17" s="3" customFormat="1" x14ac:dyDescent="0.25">
      <c r="A114" s="3">
        <v>113</v>
      </c>
      <c r="B114" s="3">
        <v>18</v>
      </c>
      <c r="C114" s="3" t="s">
        <v>22</v>
      </c>
      <c r="D114" s="3" t="s">
        <v>57</v>
      </c>
      <c r="E114" s="3" t="s">
        <v>63</v>
      </c>
      <c r="F114" s="3">
        <v>3</v>
      </c>
      <c r="G114" s="3">
        <v>1218</v>
      </c>
      <c r="H114" s="3">
        <v>2.46305418719212E-3</v>
      </c>
      <c r="I114" s="3">
        <v>113</v>
      </c>
      <c r="J114" s="3">
        <v>2.6548672566371698E-2</v>
      </c>
      <c r="K114" s="3">
        <v>2.90117267535638E-2</v>
      </c>
      <c r="L114" s="3">
        <v>1</v>
      </c>
      <c r="M114" s="3">
        <v>2.3041474654377902E-3</v>
      </c>
      <c r="N114" s="3">
        <v>0.04</v>
      </c>
      <c r="O114" s="3">
        <v>4.23041474654378E-2</v>
      </c>
      <c r="P114" s="3">
        <f>LN(F114)</f>
        <v>1.0986122886681098</v>
      </c>
      <c r="Q114" s="3">
        <f>LN(L114)</f>
        <v>0</v>
      </c>
    </row>
    <row r="115" spans="1:17" s="5" customFormat="1" x14ac:dyDescent="0.25">
      <c r="A115" s="5">
        <v>114</v>
      </c>
      <c r="B115" s="5">
        <v>61</v>
      </c>
      <c r="C115" s="5" t="s">
        <v>22</v>
      </c>
      <c r="D115" s="5" t="s">
        <v>21</v>
      </c>
      <c r="F115" s="5">
        <v>3</v>
      </c>
      <c r="G115" s="5">
        <v>1218</v>
      </c>
      <c r="H115" s="5">
        <v>2.46305418719212E-3</v>
      </c>
      <c r="I115" s="5">
        <v>13644</v>
      </c>
      <c r="J115" s="5">
        <v>2.1987686895338601E-4</v>
      </c>
      <c r="K115" s="5">
        <v>2.6829310561455001E-3</v>
      </c>
      <c r="L115" s="5">
        <v>1</v>
      </c>
      <c r="M115" s="5">
        <v>2.3041474654377902E-3</v>
      </c>
      <c r="N115" s="5">
        <v>2.9154518950437301E-4</v>
      </c>
      <c r="O115" s="5">
        <v>2.5956926549421601E-3</v>
      </c>
      <c r="P115" s="5">
        <f>LN(F115)</f>
        <v>1.0986122886681098</v>
      </c>
      <c r="Q115" s="5">
        <f>LN(L115)</f>
        <v>0</v>
      </c>
    </row>
    <row r="116" spans="1:17" s="5" customFormat="1" x14ac:dyDescent="0.25">
      <c r="A116" s="5">
        <v>115</v>
      </c>
      <c r="B116" s="5">
        <v>117</v>
      </c>
      <c r="C116" s="5" t="s">
        <v>22</v>
      </c>
      <c r="D116" s="5" t="s">
        <v>58</v>
      </c>
      <c r="F116" s="5">
        <v>2</v>
      </c>
      <c r="G116" s="5">
        <v>1218</v>
      </c>
      <c r="H116" s="5">
        <v>1.64203612479475E-3</v>
      </c>
      <c r="I116" s="5">
        <v>28</v>
      </c>
      <c r="J116" s="5">
        <v>7.1428571428571397E-2</v>
      </c>
      <c r="K116" s="5">
        <v>7.3070607553366196E-2</v>
      </c>
      <c r="L116" s="5">
        <v>1</v>
      </c>
      <c r="M116" s="5">
        <v>2.3041474654377902E-3</v>
      </c>
      <c r="N116" s="5">
        <v>7.69230769230769E-2</v>
      </c>
      <c r="O116" s="5">
        <v>7.9227224388514705E-2</v>
      </c>
      <c r="P116" s="5">
        <f>LN(F116)</f>
        <v>0.69314718055994529</v>
      </c>
      <c r="Q116" s="5">
        <f>LN(L116)</f>
        <v>0</v>
      </c>
    </row>
    <row r="117" spans="1:17" s="5" customFormat="1" x14ac:dyDescent="0.25">
      <c r="A117" s="4">
        <v>116</v>
      </c>
      <c r="B117" s="4">
        <v>177</v>
      </c>
      <c r="C117" s="4" t="s">
        <v>22</v>
      </c>
      <c r="D117" s="4" t="s">
        <v>33</v>
      </c>
      <c r="E117" s="4" t="s">
        <v>61</v>
      </c>
      <c r="F117" s="4">
        <v>2</v>
      </c>
      <c r="G117" s="4">
        <v>1218</v>
      </c>
      <c r="H117" s="4">
        <v>1.64203612479475E-3</v>
      </c>
      <c r="I117" s="4">
        <v>4779</v>
      </c>
      <c r="J117" s="4">
        <v>4.1849759363883702E-4</v>
      </c>
      <c r="K117" s="4">
        <v>2.0605337184335798E-3</v>
      </c>
      <c r="L117" s="4"/>
      <c r="M117" s="4"/>
      <c r="N117" s="4"/>
      <c r="O117" s="4"/>
      <c r="P117" s="4">
        <f>LN(F117)</f>
        <v>0.69314718055994529</v>
      </c>
      <c r="Q117" s="4"/>
    </row>
    <row r="118" spans="1:17" s="5" customFormat="1" x14ac:dyDescent="0.25">
      <c r="A118" s="5">
        <v>117</v>
      </c>
      <c r="B118" s="5">
        <v>49</v>
      </c>
      <c r="C118" s="5" t="s">
        <v>22</v>
      </c>
      <c r="D118" s="5" t="s">
        <v>37</v>
      </c>
      <c r="F118" s="5">
        <v>1</v>
      </c>
      <c r="G118" s="5">
        <v>1218</v>
      </c>
      <c r="H118" s="5">
        <v>8.2101806239737304E-4</v>
      </c>
      <c r="I118" s="5">
        <v>27</v>
      </c>
      <c r="J118" s="5">
        <v>3.7037037037037E-2</v>
      </c>
      <c r="K118" s="5">
        <v>3.78580550994344E-2</v>
      </c>
      <c r="P118" s="5">
        <f>LN(F118)</f>
        <v>0</v>
      </c>
    </row>
    <row r="119" spans="1:17" s="5" customFormat="1" x14ac:dyDescent="0.25">
      <c r="A119" s="4">
        <v>118</v>
      </c>
      <c r="B119" s="4">
        <v>148</v>
      </c>
      <c r="C119" s="4" t="s">
        <v>22</v>
      </c>
      <c r="D119" s="4" t="s">
        <v>35</v>
      </c>
      <c r="E119" s="4" t="s">
        <v>61</v>
      </c>
      <c r="F119" s="4">
        <v>1</v>
      </c>
      <c r="G119" s="4">
        <v>1218</v>
      </c>
      <c r="H119" s="4">
        <v>8.2101806239737304E-4</v>
      </c>
      <c r="I119" s="4">
        <v>2533</v>
      </c>
      <c r="J119" s="4">
        <v>3.9478878799842099E-4</v>
      </c>
      <c r="K119" s="4">
        <v>1.2158068503957901E-3</v>
      </c>
      <c r="L119" s="4"/>
      <c r="M119" s="4"/>
      <c r="N119" s="4"/>
      <c r="O119" s="4"/>
      <c r="P119" s="4">
        <f>LN(F119)</f>
        <v>0</v>
      </c>
      <c r="Q119" s="4"/>
    </row>
    <row r="120" spans="1:17" s="5" customFormat="1" x14ac:dyDescent="0.25">
      <c r="A120" s="5">
        <v>119</v>
      </c>
      <c r="B120" s="5">
        <v>119</v>
      </c>
      <c r="C120" s="5" t="s">
        <v>29</v>
      </c>
      <c r="D120" s="5" t="s">
        <v>29</v>
      </c>
      <c r="F120" s="5">
        <v>4256</v>
      </c>
      <c r="G120" s="5">
        <v>4655</v>
      </c>
      <c r="H120" s="5">
        <v>0.91428571428571404</v>
      </c>
      <c r="I120" s="5">
        <v>5305</v>
      </c>
      <c r="J120" s="5">
        <v>0.802262016965127</v>
      </c>
      <c r="K120" s="5">
        <v>1.7165477312508399</v>
      </c>
      <c r="L120" s="5">
        <v>919</v>
      </c>
      <c r="M120" s="5">
        <v>0.90186457311089296</v>
      </c>
      <c r="N120" s="5">
        <v>0.78212765957446795</v>
      </c>
      <c r="O120" s="5">
        <v>1.68399223268536</v>
      </c>
      <c r="P120" s="5">
        <f>LN(F120)</f>
        <v>8.3560850310214807</v>
      </c>
      <c r="Q120" s="5">
        <f>LN(L120)</f>
        <v>6.8232861223556869</v>
      </c>
    </row>
    <row r="121" spans="1:17" s="5" customFormat="1" x14ac:dyDescent="0.25">
      <c r="A121" s="5">
        <v>120</v>
      </c>
      <c r="B121" s="5">
        <v>51</v>
      </c>
      <c r="C121" s="5" t="s">
        <v>29</v>
      </c>
      <c r="D121" s="5" t="s">
        <v>21</v>
      </c>
      <c r="F121" s="5">
        <v>309</v>
      </c>
      <c r="G121" s="5">
        <v>4655</v>
      </c>
      <c r="H121" s="5">
        <v>6.6380236305048301E-2</v>
      </c>
      <c r="I121" s="5">
        <v>13644</v>
      </c>
      <c r="J121" s="5">
        <v>2.26473175021988E-2</v>
      </c>
      <c r="K121" s="5">
        <v>8.9027553807247098E-2</v>
      </c>
      <c r="L121" s="5">
        <v>69</v>
      </c>
      <c r="M121" s="5">
        <v>6.7713444553483798E-2</v>
      </c>
      <c r="N121" s="5">
        <v>2.0116618075801701E-2</v>
      </c>
      <c r="O121" s="5">
        <v>8.7830062629285596E-2</v>
      </c>
      <c r="P121" s="5">
        <f>LN(F121)</f>
        <v>5.7333412768977459</v>
      </c>
      <c r="Q121" s="5">
        <f>LN(L121)</f>
        <v>4.2341065045972597</v>
      </c>
    </row>
    <row r="122" spans="1:17" s="5" customFormat="1" x14ac:dyDescent="0.25">
      <c r="A122" s="5">
        <v>121</v>
      </c>
      <c r="B122" s="5">
        <v>16</v>
      </c>
      <c r="C122" s="5" t="s">
        <v>29</v>
      </c>
      <c r="D122" s="5" t="s">
        <v>57</v>
      </c>
      <c r="F122" s="5">
        <v>13</v>
      </c>
      <c r="G122" s="5">
        <v>4655</v>
      </c>
      <c r="H122" s="5">
        <v>2.7926960257787302E-3</v>
      </c>
      <c r="I122" s="5">
        <v>113</v>
      </c>
      <c r="J122" s="5">
        <v>0.11504424778761101</v>
      </c>
      <c r="K122" s="5">
        <v>0.11783694381338899</v>
      </c>
      <c r="L122" s="5">
        <v>3</v>
      </c>
      <c r="M122" s="5">
        <v>2.9440628066732099E-3</v>
      </c>
      <c r="N122" s="5">
        <v>0.12</v>
      </c>
      <c r="O122" s="5">
        <v>0.122944062806673</v>
      </c>
      <c r="P122" s="5">
        <f>LN(F122)</f>
        <v>2.5649493574615367</v>
      </c>
      <c r="Q122" s="5">
        <f>LN(L122)</f>
        <v>1.0986122886681098</v>
      </c>
    </row>
    <row r="123" spans="1:17" s="5" customFormat="1" x14ac:dyDescent="0.25">
      <c r="A123" s="5">
        <v>122</v>
      </c>
      <c r="B123" s="5">
        <v>70</v>
      </c>
      <c r="C123" s="5" t="s">
        <v>29</v>
      </c>
      <c r="D123" s="5" t="s">
        <v>59</v>
      </c>
      <c r="F123" s="5">
        <v>13</v>
      </c>
      <c r="G123" s="5">
        <v>4655</v>
      </c>
      <c r="H123" s="5">
        <v>2.7926960257787302E-3</v>
      </c>
      <c r="I123" s="5">
        <v>258</v>
      </c>
      <c r="J123" s="5">
        <v>5.0387596899224799E-2</v>
      </c>
      <c r="K123" s="5">
        <v>5.3180292925003501E-2</v>
      </c>
      <c r="L123" s="5">
        <v>5</v>
      </c>
      <c r="M123" s="5">
        <v>4.9067713444553504E-3</v>
      </c>
      <c r="N123" s="5">
        <v>5.7471264367816098E-2</v>
      </c>
      <c r="O123" s="5">
        <v>6.23780357122714E-2</v>
      </c>
      <c r="P123" s="5">
        <f>LN(F123)</f>
        <v>2.5649493574615367</v>
      </c>
      <c r="Q123" s="5">
        <f>LN(L123)</f>
        <v>1.6094379124341003</v>
      </c>
    </row>
    <row r="124" spans="1:17" s="5" customFormat="1" x14ac:dyDescent="0.25">
      <c r="A124" s="5">
        <v>123</v>
      </c>
      <c r="B124" s="5">
        <v>145</v>
      </c>
      <c r="C124" s="5" t="s">
        <v>29</v>
      </c>
      <c r="D124" s="5" t="s">
        <v>35</v>
      </c>
      <c r="F124" s="5">
        <v>11</v>
      </c>
      <c r="G124" s="5">
        <v>4655</v>
      </c>
      <c r="H124" s="5">
        <v>2.3630504833512399E-3</v>
      </c>
      <c r="I124" s="5">
        <v>2533</v>
      </c>
      <c r="J124" s="5">
        <v>4.3426766679826303E-3</v>
      </c>
      <c r="K124" s="5">
        <v>6.7057271513338602E-3</v>
      </c>
      <c r="L124" s="5">
        <v>3</v>
      </c>
      <c r="M124" s="5">
        <v>2.9440628066732099E-3</v>
      </c>
      <c r="N124" s="5">
        <v>2.1126760563380299E-2</v>
      </c>
      <c r="O124" s="5">
        <v>2.40708233700535E-2</v>
      </c>
      <c r="P124" s="5">
        <f>LN(F124)</f>
        <v>2.3978952727983707</v>
      </c>
      <c r="Q124" s="5">
        <f>LN(L124)</f>
        <v>1.0986122886681098</v>
      </c>
    </row>
    <row r="125" spans="1:17" s="5" customFormat="1" x14ac:dyDescent="0.25">
      <c r="A125" s="5">
        <v>124</v>
      </c>
      <c r="B125" s="5">
        <v>31</v>
      </c>
      <c r="C125" s="5" t="s">
        <v>29</v>
      </c>
      <c r="D125" s="5" t="s">
        <v>31</v>
      </c>
      <c r="F125" s="5">
        <v>10</v>
      </c>
      <c r="G125" s="5">
        <v>4655</v>
      </c>
      <c r="H125" s="5">
        <v>2.14822771213749E-3</v>
      </c>
      <c r="I125" s="5">
        <v>3924</v>
      </c>
      <c r="J125" s="5">
        <v>2.5484199796126398E-3</v>
      </c>
      <c r="K125" s="5">
        <v>4.6966476917501302E-3</v>
      </c>
      <c r="L125" s="5">
        <v>5</v>
      </c>
      <c r="M125" s="5">
        <v>4.9067713444553504E-3</v>
      </c>
      <c r="N125" s="5">
        <v>2.6014568158168601E-3</v>
      </c>
      <c r="O125" s="5">
        <v>7.50822816027221E-3</v>
      </c>
      <c r="P125" s="5">
        <f>LN(F125)</f>
        <v>2.3025850929940459</v>
      </c>
      <c r="Q125" s="5">
        <f>LN(L125)</f>
        <v>1.6094379124341003</v>
      </c>
    </row>
    <row r="126" spans="1:17" s="5" customFormat="1" x14ac:dyDescent="0.25">
      <c r="A126" s="5">
        <v>125</v>
      </c>
      <c r="B126" s="5">
        <v>25</v>
      </c>
      <c r="C126" s="5" t="s">
        <v>29</v>
      </c>
      <c r="D126" s="5" t="s">
        <v>48</v>
      </c>
      <c r="F126" s="5">
        <v>8</v>
      </c>
      <c r="G126" s="5">
        <v>4655</v>
      </c>
      <c r="H126" s="5">
        <v>1.71858216970999E-3</v>
      </c>
      <c r="I126" s="5">
        <v>636</v>
      </c>
      <c r="J126" s="5">
        <v>1.25786163522013E-2</v>
      </c>
      <c r="K126" s="5">
        <v>1.4297198521911201E-2</v>
      </c>
      <c r="L126" s="5">
        <v>4</v>
      </c>
      <c r="M126" s="5">
        <v>3.9254170755642801E-3</v>
      </c>
      <c r="N126" s="5">
        <v>1.26984126984127E-2</v>
      </c>
      <c r="O126" s="5">
        <v>1.6623829773977E-2</v>
      </c>
      <c r="P126" s="5">
        <f>LN(F126)</f>
        <v>2.0794415416798357</v>
      </c>
      <c r="Q126" s="5">
        <f>LN(L126)</f>
        <v>1.3862943611198906</v>
      </c>
    </row>
    <row r="127" spans="1:17" s="5" customFormat="1" x14ac:dyDescent="0.25">
      <c r="A127" s="5">
        <v>126</v>
      </c>
      <c r="B127" s="5">
        <v>104</v>
      </c>
      <c r="C127" s="5" t="s">
        <v>29</v>
      </c>
      <c r="D127" s="5" t="s">
        <v>22</v>
      </c>
      <c r="F127" s="5">
        <v>6</v>
      </c>
      <c r="G127" s="5">
        <v>4655</v>
      </c>
      <c r="H127" s="5">
        <v>1.2889366272824899E-3</v>
      </c>
      <c r="I127" s="5">
        <v>1139</v>
      </c>
      <c r="J127" s="5">
        <v>5.2677787532923598E-3</v>
      </c>
      <c r="K127" s="5">
        <v>6.5567153805748497E-3</v>
      </c>
      <c r="L127" s="5">
        <v>2</v>
      </c>
      <c r="M127" s="5">
        <v>1.9627085377821401E-3</v>
      </c>
      <c r="N127" s="5">
        <v>4.9504950495049497E-3</v>
      </c>
      <c r="O127" s="5">
        <v>6.9132035872870902E-3</v>
      </c>
      <c r="P127" s="5">
        <f>LN(F127)</f>
        <v>1.791759469228055</v>
      </c>
      <c r="Q127" s="5">
        <f>LN(L127)</f>
        <v>0.69314718055994529</v>
      </c>
    </row>
    <row r="128" spans="1:17" s="5" customFormat="1" x14ac:dyDescent="0.25">
      <c r="A128" s="5">
        <v>127</v>
      </c>
      <c r="B128" s="5">
        <v>154</v>
      </c>
      <c r="C128" s="5" t="s">
        <v>29</v>
      </c>
      <c r="D128" s="5" t="s">
        <v>56</v>
      </c>
      <c r="F128" s="5">
        <v>6</v>
      </c>
      <c r="G128" s="5">
        <v>4655</v>
      </c>
      <c r="H128" s="5">
        <v>1.2889366272824899E-3</v>
      </c>
      <c r="I128" s="5">
        <v>244</v>
      </c>
      <c r="J128" s="5">
        <v>2.4590163934426201E-2</v>
      </c>
      <c r="K128" s="5">
        <v>2.5879100561708699E-2</v>
      </c>
      <c r="L128" s="5">
        <v>2</v>
      </c>
      <c r="M128" s="5">
        <v>1.9627085377821401E-3</v>
      </c>
      <c r="N128" s="5">
        <v>2.3529411764705899E-2</v>
      </c>
      <c r="O128" s="5">
        <v>2.5492120302488E-2</v>
      </c>
      <c r="P128" s="5">
        <f>LN(F128)</f>
        <v>1.791759469228055</v>
      </c>
      <c r="Q128" s="5">
        <f>LN(L128)</f>
        <v>0.69314718055994529</v>
      </c>
    </row>
    <row r="129" spans="1:17" s="5" customFormat="1" x14ac:dyDescent="0.25">
      <c r="A129" s="5">
        <v>128</v>
      </c>
      <c r="B129" s="5">
        <v>110</v>
      </c>
      <c r="C129" s="5" t="s">
        <v>29</v>
      </c>
      <c r="D129" s="5" t="s">
        <v>51</v>
      </c>
      <c r="F129" s="5">
        <v>4</v>
      </c>
      <c r="G129" s="5">
        <v>4655</v>
      </c>
      <c r="H129" s="5">
        <v>8.5929108485499498E-4</v>
      </c>
      <c r="I129" s="5">
        <v>24</v>
      </c>
      <c r="J129" s="5">
        <v>0.16666666666666699</v>
      </c>
      <c r="K129" s="5">
        <v>0.16752595775152199</v>
      </c>
      <c r="L129" s="5">
        <v>1</v>
      </c>
      <c r="M129" s="5">
        <v>9.8135426889107004E-4</v>
      </c>
      <c r="N129" s="5">
        <v>0.125</v>
      </c>
      <c r="O129" s="5">
        <v>0.12598135426889101</v>
      </c>
      <c r="P129" s="5">
        <f>LN(F129)</f>
        <v>1.3862943611198906</v>
      </c>
      <c r="Q129" s="5">
        <f>LN(L129)</f>
        <v>0</v>
      </c>
    </row>
    <row r="130" spans="1:17" s="5" customFormat="1" x14ac:dyDescent="0.25">
      <c r="A130" s="5">
        <v>129</v>
      </c>
      <c r="B130" s="5">
        <v>13</v>
      </c>
      <c r="C130" s="5" t="s">
        <v>29</v>
      </c>
      <c r="D130" s="5" t="s">
        <v>38</v>
      </c>
      <c r="F130" s="5">
        <v>3</v>
      </c>
      <c r="G130" s="5">
        <v>4655</v>
      </c>
      <c r="H130" s="5">
        <v>6.4446831364124604E-4</v>
      </c>
      <c r="I130" s="5">
        <v>31</v>
      </c>
      <c r="J130" s="5">
        <v>9.6774193548387094E-2</v>
      </c>
      <c r="K130" s="5">
        <v>9.74186618620283E-2</v>
      </c>
      <c r="L130" s="5">
        <v>1</v>
      </c>
      <c r="M130" s="5">
        <v>9.8135426889107004E-4</v>
      </c>
      <c r="N130" s="5">
        <v>9.0909090909090898E-2</v>
      </c>
      <c r="O130" s="5">
        <v>9.1890445177982005E-2</v>
      </c>
      <c r="P130" s="5">
        <f>LN(F130)</f>
        <v>1.0986122886681098</v>
      </c>
      <c r="Q130" s="5">
        <f>LN(L130)</f>
        <v>0</v>
      </c>
    </row>
    <row r="131" spans="1:17" s="5" customFormat="1" x14ac:dyDescent="0.25">
      <c r="A131" s="5">
        <v>130</v>
      </c>
      <c r="B131" s="5">
        <v>47</v>
      </c>
      <c r="C131" s="5" t="s">
        <v>29</v>
      </c>
      <c r="D131" s="5" t="s">
        <v>37</v>
      </c>
      <c r="F131" s="5">
        <v>3</v>
      </c>
      <c r="G131" s="5">
        <v>4655</v>
      </c>
      <c r="H131" s="5">
        <v>6.4446831364124604E-4</v>
      </c>
      <c r="I131" s="5">
        <v>27</v>
      </c>
      <c r="J131" s="5">
        <v>0.11111111111111099</v>
      </c>
      <c r="K131" s="5">
        <v>0.11175557942475201</v>
      </c>
      <c r="L131" s="5">
        <v>1</v>
      </c>
      <c r="M131" s="5">
        <v>9.8135426889107004E-4</v>
      </c>
      <c r="N131" s="5">
        <v>0.1</v>
      </c>
      <c r="O131" s="5">
        <v>0.100981354268891</v>
      </c>
      <c r="P131" s="5">
        <f>LN(F131)</f>
        <v>1.0986122886681098</v>
      </c>
      <c r="Q131" s="5">
        <f>LN(L131)</f>
        <v>0</v>
      </c>
    </row>
    <row r="132" spans="1:17" s="5" customFormat="1" x14ac:dyDescent="0.25">
      <c r="A132" s="5">
        <v>131</v>
      </c>
      <c r="B132" s="5">
        <v>83</v>
      </c>
      <c r="C132" s="5" t="s">
        <v>29</v>
      </c>
      <c r="D132" s="5" t="s">
        <v>46</v>
      </c>
      <c r="F132" s="5">
        <v>3</v>
      </c>
      <c r="G132" s="5">
        <v>4655</v>
      </c>
      <c r="H132" s="5">
        <v>6.4446831364124604E-4</v>
      </c>
      <c r="I132" s="5">
        <v>220</v>
      </c>
      <c r="J132" s="5">
        <v>1.3636363636363599E-2</v>
      </c>
      <c r="K132" s="5">
        <v>1.42808319500049E-2</v>
      </c>
      <c r="P132" s="5">
        <f>LN(F132)</f>
        <v>1.0986122886681098</v>
      </c>
    </row>
    <row r="133" spans="1:17" s="5" customFormat="1" x14ac:dyDescent="0.25">
      <c r="A133" s="5">
        <v>132</v>
      </c>
      <c r="B133" s="5">
        <v>176</v>
      </c>
      <c r="C133" s="5" t="s">
        <v>29</v>
      </c>
      <c r="D133" s="5" t="s">
        <v>33</v>
      </c>
      <c r="F133" s="5">
        <v>3</v>
      </c>
      <c r="G133" s="5">
        <v>4655</v>
      </c>
      <c r="H133" s="5">
        <v>6.4446831364124604E-4</v>
      </c>
      <c r="I133" s="5">
        <v>4779</v>
      </c>
      <c r="J133" s="5">
        <v>6.2774639045825502E-4</v>
      </c>
      <c r="K133" s="5">
        <v>1.2722147040995001E-3</v>
      </c>
      <c r="L133" s="5">
        <v>1</v>
      </c>
      <c r="M133" s="5">
        <v>9.8135426889107004E-4</v>
      </c>
      <c r="N133" s="5">
        <v>1.67224080267559E-3</v>
      </c>
      <c r="O133" s="5">
        <v>2.6535950715666501E-3</v>
      </c>
      <c r="P133" s="5">
        <f>LN(F133)</f>
        <v>1.0986122886681098</v>
      </c>
      <c r="Q133" s="5">
        <f>LN(L133)</f>
        <v>0</v>
      </c>
    </row>
    <row r="134" spans="1:17" s="5" customFormat="1" x14ac:dyDescent="0.25">
      <c r="A134" s="5">
        <v>133</v>
      </c>
      <c r="B134" s="5">
        <v>6</v>
      </c>
      <c r="C134" s="5" t="s">
        <v>29</v>
      </c>
      <c r="D134" s="5" t="s">
        <v>52</v>
      </c>
      <c r="F134" s="5">
        <v>2</v>
      </c>
      <c r="G134" s="5">
        <v>4655</v>
      </c>
      <c r="H134" s="5">
        <v>4.29645542427497E-4</v>
      </c>
      <c r="I134" s="5">
        <v>62</v>
      </c>
      <c r="J134" s="5">
        <v>3.2258064516128997E-2</v>
      </c>
      <c r="K134" s="5">
        <v>3.2687710058556502E-2</v>
      </c>
      <c r="L134" s="5">
        <v>1</v>
      </c>
      <c r="M134" s="5">
        <v>9.8135426889107004E-4</v>
      </c>
      <c r="N134" s="5">
        <v>4.3478260869565202E-2</v>
      </c>
      <c r="O134" s="5">
        <v>4.4459615138456303E-2</v>
      </c>
      <c r="P134" s="5">
        <f>LN(F134)</f>
        <v>0.69314718055994529</v>
      </c>
      <c r="Q134" s="5">
        <f>LN(L134)</f>
        <v>0</v>
      </c>
    </row>
    <row r="135" spans="1:17" s="5" customFormat="1" x14ac:dyDescent="0.25">
      <c r="A135" s="5">
        <v>134</v>
      </c>
      <c r="B135" s="5">
        <v>41</v>
      </c>
      <c r="C135" s="5" t="s">
        <v>29</v>
      </c>
      <c r="D135" s="5" t="s">
        <v>24</v>
      </c>
      <c r="F135" s="5">
        <v>2</v>
      </c>
      <c r="G135" s="5">
        <v>4655</v>
      </c>
      <c r="H135" s="5">
        <v>4.29645542427497E-4</v>
      </c>
      <c r="I135" s="5">
        <v>2287</v>
      </c>
      <c r="J135" s="5">
        <v>8.7450808919982501E-4</v>
      </c>
      <c r="K135" s="5">
        <v>1.3041536316273201E-3</v>
      </c>
      <c r="L135" s="5">
        <v>1</v>
      </c>
      <c r="M135" s="5">
        <v>9.8135426889107004E-4</v>
      </c>
      <c r="N135" s="5">
        <v>1.6528925619834699E-3</v>
      </c>
      <c r="O135" s="5">
        <v>2.63424683087454E-3</v>
      </c>
      <c r="P135" s="5">
        <f>LN(F135)</f>
        <v>0.69314718055994529</v>
      </c>
      <c r="Q135" s="5">
        <f>LN(L135)</f>
        <v>0</v>
      </c>
    </row>
    <row r="136" spans="1:17" s="5" customFormat="1" x14ac:dyDescent="0.25">
      <c r="A136" s="5">
        <v>135</v>
      </c>
      <c r="B136" s="5">
        <v>137</v>
      </c>
      <c r="C136" s="5" t="s">
        <v>29</v>
      </c>
      <c r="D136" s="5" t="s">
        <v>53</v>
      </c>
      <c r="F136" s="5">
        <v>2</v>
      </c>
      <c r="G136" s="5">
        <v>4655</v>
      </c>
      <c r="H136" s="5">
        <v>4.29645542427497E-4</v>
      </c>
      <c r="I136" s="5">
        <v>10</v>
      </c>
      <c r="J136" s="5">
        <v>0.2</v>
      </c>
      <c r="K136" s="5">
        <v>0.20042964554242801</v>
      </c>
      <c r="L136" s="5">
        <v>1</v>
      </c>
      <c r="M136" s="5">
        <v>9.8135426889107004E-4</v>
      </c>
      <c r="N136" s="5">
        <v>0.25</v>
      </c>
      <c r="O136" s="5">
        <v>0.25098135426889101</v>
      </c>
      <c r="P136" s="5">
        <f>LN(F136)</f>
        <v>0.69314718055994529</v>
      </c>
      <c r="Q136" s="5">
        <f>LN(L136)</f>
        <v>0</v>
      </c>
    </row>
    <row r="137" spans="1:17" s="5" customFormat="1" x14ac:dyDescent="0.25">
      <c r="A137" s="5">
        <v>136</v>
      </c>
      <c r="B137" s="5">
        <v>98</v>
      </c>
      <c r="C137" s="5" t="s">
        <v>29</v>
      </c>
      <c r="D137" s="5" t="s">
        <v>40</v>
      </c>
      <c r="F137" s="5">
        <v>1</v>
      </c>
      <c r="G137" s="5">
        <v>4655</v>
      </c>
      <c r="H137" s="5">
        <v>2.1482277121374899E-4</v>
      </c>
      <c r="I137" s="5">
        <v>879</v>
      </c>
      <c r="J137" s="5">
        <v>1.13765642775882E-3</v>
      </c>
      <c r="K137" s="5">
        <v>1.3524791989725699E-3</v>
      </c>
      <c r="P137" s="5">
        <f>LN(F137)</f>
        <v>0</v>
      </c>
    </row>
    <row r="138" spans="1:17" s="5" customFormat="1" x14ac:dyDescent="0.25">
      <c r="A138" s="5">
        <v>137</v>
      </c>
      <c r="B138" s="5">
        <v>171</v>
      </c>
      <c r="C138" s="5" t="s">
        <v>32</v>
      </c>
      <c r="D138" s="5" t="s">
        <v>33</v>
      </c>
      <c r="F138" s="5">
        <v>4725</v>
      </c>
      <c r="G138" s="5">
        <v>6729</v>
      </c>
      <c r="H138" s="5">
        <v>0.70218457423094105</v>
      </c>
      <c r="I138" s="5">
        <v>4779</v>
      </c>
      <c r="J138" s="5">
        <v>0.98870056497175096</v>
      </c>
      <c r="K138" s="5">
        <v>1.69088513920269</v>
      </c>
      <c r="L138" s="5">
        <v>585</v>
      </c>
      <c r="M138" s="5">
        <v>0.78523489932885904</v>
      </c>
      <c r="N138" s="5">
        <v>0.97826086956521696</v>
      </c>
      <c r="O138" s="5">
        <v>1.76349576889408</v>
      </c>
      <c r="P138" s="5">
        <f>LN(F138)</f>
        <v>8.4606228399278436</v>
      </c>
      <c r="Q138" s="5">
        <f>LN(L138)</f>
        <v>6.3716118472318568</v>
      </c>
    </row>
    <row r="139" spans="1:17" s="5" customFormat="1" x14ac:dyDescent="0.25">
      <c r="A139" s="5">
        <v>138</v>
      </c>
      <c r="B139" s="5">
        <v>185</v>
      </c>
      <c r="C139" s="5" t="s">
        <v>32</v>
      </c>
      <c r="D139" s="5" t="s">
        <v>42</v>
      </c>
      <c r="F139" s="5">
        <v>1875</v>
      </c>
      <c r="G139" s="5">
        <v>6729</v>
      </c>
      <c r="H139" s="5">
        <v>0.27864467231386503</v>
      </c>
      <c r="I139" s="5">
        <v>3128</v>
      </c>
      <c r="J139" s="5">
        <v>0.59942455242966797</v>
      </c>
      <c r="K139" s="5">
        <v>0.87806922474353299</v>
      </c>
      <c r="L139" s="5">
        <v>135</v>
      </c>
      <c r="M139" s="5">
        <v>0.18120805369127499</v>
      </c>
      <c r="N139" s="5">
        <v>0.29670329670329698</v>
      </c>
      <c r="O139" s="5">
        <v>0.477911350394572</v>
      </c>
      <c r="P139" s="5">
        <f>LN(F139)</f>
        <v>7.5363639384045111</v>
      </c>
      <c r="Q139" s="5">
        <f>LN(L139)</f>
        <v>4.9052747784384296</v>
      </c>
    </row>
    <row r="140" spans="1:17" s="5" customFormat="1" x14ac:dyDescent="0.25">
      <c r="A140" s="5">
        <v>139</v>
      </c>
      <c r="B140" s="5">
        <v>14</v>
      </c>
      <c r="C140" s="5" t="s">
        <v>32</v>
      </c>
      <c r="D140" s="5" t="s">
        <v>57</v>
      </c>
      <c r="F140" s="5">
        <v>52</v>
      </c>
      <c r="G140" s="5">
        <v>6729</v>
      </c>
      <c r="H140" s="5">
        <v>7.7277455788378703E-3</v>
      </c>
      <c r="I140" s="5">
        <v>113</v>
      </c>
      <c r="J140" s="5">
        <v>0.46017699115044203</v>
      </c>
      <c r="K140" s="5">
        <v>0.46790473672928001</v>
      </c>
      <c r="L140" s="5">
        <v>14</v>
      </c>
      <c r="M140" s="5">
        <v>1.87919463087248E-2</v>
      </c>
      <c r="N140" s="5">
        <v>0.56000000000000005</v>
      </c>
      <c r="O140" s="5">
        <v>0.57879194630872499</v>
      </c>
      <c r="P140" s="5">
        <f>LN(F140)</f>
        <v>3.9512437185814275</v>
      </c>
      <c r="Q140" s="5">
        <f>LN(L140)</f>
        <v>2.6390573296152584</v>
      </c>
    </row>
    <row r="141" spans="1:17" s="4" customFormat="1" x14ac:dyDescent="0.25">
      <c r="A141" s="4">
        <v>140</v>
      </c>
      <c r="B141" s="4">
        <v>37</v>
      </c>
      <c r="C141" s="4" t="s">
        <v>32</v>
      </c>
      <c r="D141" s="4" t="s">
        <v>24</v>
      </c>
      <c r="E141" s="4" t="s">
        <v>61</v>
      </c>
      <c r="F141" s="4">
        <v>17</v>
      </c>
      <c r="G141" s="4">
        <v>6729</v>
      </c>
      <c r="H141" s="4">
        <v>2.5263783623123799E-3</v>
      </c>
      <c r="I141" s="4">
        <v>2287</v>
      </c>
      <c r="J141" s="4">
        <v>7.4333187581985096E-3</v>
      </c>
      <c r="K141" s="4">
        <v>9.9596971205108895E-3</v>
      </c>
      <c r="L141" s="4">
        <v>6</v>
      </c>
      <c r="M141" s="4">
        <v>8.0536912751677896E-3</v>
      </c>
      <c r="N141" s="4">
        <v>9.9173553719008305E-3</v>
      </c>
      <c r="O141" s="4">
        <v>1.7971046647068601E-2</v>
      </c>
      <c r="P141" s="4">
        <f>LN(F141)</f>
        <v>2.8332133440562162</v>
      </c>
      <c r="Q141" s="4">
        <f>LN(L141)</f>
        <v>1.791759469228055</v>
      </c>
    </row>
    <row r="142" spans="1:17" s="5" customFormat="1" x14ac:dyDescent="0.25">
      <c r="A142" s="5">
        <v>141</v>
      </c>
      <c r="B142" s="5">
        <v>124</v>
      </c>
      <c r="C142" s="5" t="s">
        <v>32</v>
      </c>
      <c r="D142" s="5" t="s">
        <v>29</v>
      </c>
      <c r="F142" s="5">
        <v>14</v>
      </c>
      <c r="G142" s="5">
        <v>6729</v>
      </c>
      <c r="H142" s="5">
        <v>2.0805468866101902E-3</v>
      </c>
      <c r="I142" s="5">
        <v>5305</v>
      </c>
      <c r="J142" s="5">
        <v>2.6390197926484402E-3</v>
      </c>
      <c r="K142" s="5">
        <v>4.7195666792586403E-3</v>
      </c>
      <c r="L142" s="5">
        <v>3</v>
      </c>
      <c r="M142" s="5">
        <v>4.0268456375838896E-3</v>
      </c>
      <c r="N142" s="5">
        <v>2.5531914893616998E-3</v>
      </c>
      <c r="O142" s="5">
        <v>6.5800371269456003E-3</v>
      </c>
      <c r="P142" s="5">
        <f>LN(F142)</f>
        <v>2.6390573296152584</v>
      </c>
      <c r="Q142" s="5">
        <f>LN(L142)</f>
        <v>1.0986122886681098</v>
      </c>
    </row>
    <row r="143" spans="1:17" s="5" customFormat="1" x14ac:dyDescent="0.25">
      <c r="A143" s="4">
        <v>142</v>
      </c>
      <c r="B143" s="4">
        <v>144</v>
      </c>
      <c r="C143" s="4" t="s">
        <v>32</v>
      </c>
      <c r="D143" s="4" t="s">
        <v>35</v>
      </c>
      <c r="E143" s="4" t="s">
        <v>61</v>
      </c>
      <c r="F143" s="4">
        <v>14</v>
      </c>
      <c r="G143" s="4">
        <v>6729</v>
      </c>
      <c r="H143" s="4">
        <v>2.0805468866101902E-3</v>
      </c>
      <c r="I143" s="4">
        <v>2533</v>
      </c>
      <c r="J143" s="4">
        <v>5.5270430319778897E-3</v>
      </c>
      <c r="K143" s="4">
        <v>7.6075899185880898E-3</v>
      </c>
      <c r="L143" s="4">
        <v>2</v>
      </c>
      <c r="M143" s="4">
        <v>2.6845637583892599E-3</v>
      </c>
      <c r="N143" s="4">
        <v>1.4084507042253501E-2</v>
      </c>
      <c r="O143" s="4">
        <v>1.6769070800642799E-2</v>
      </c>
      <c r="P143" s="4">
        <f>LN(F143)</f>
        <v>2.6390573296152584</v>
      </c>
      <c r="Q143" s="4">
        <f>LN(L143)</f>
        <v>0.69314718055994529</v>
      </c>
    </row>
    <row r="144" spans="1:17" s="5" customFormat="1" x14ac:dyDescent="0.25">
      <c r="A144" s="4">
        <v>143</v>
      </c>
      <c r="B144" s="4">
        <v>2</v>
      </c>
      <c r="C144" s="4" t="s">
        <v>32</v>
      </c>
      <c r="D144" s="4" t="s">
        <v>52</v>
      </c>
      <c r="E144" s="4" t="s">
        <v>61</v>
      </c>
      <c r="F144" s="4">
        <v>11</v>
      </c>
      <c r="G144" s="4">
        <v>6729</v>
      </c>
      <c r="H144" s="4">
        <v>1.63471541090801E-3</v>
      </c>
      <c r="I144" s="4">
        <v>62</v>
      </c>
      <c r="J144" s="4">
        <v>0.17741935483870999</v>
      </c>
      <c r="K144" s="4">
        <v>0.179054070249618</v>
      </c>
      <c r="L144" s="4"/>
      <c r="M144" s="4"/>
      <c r="N144" s="4"/>
      <c r="O144" s="4"/>
      <c r="P144" s="4">
        <f>LN(F144)</f>
        <v>2.3978952727983707</v>
      </c>
      <c r="Q144" s="4"/>
    </row>
    <row r="145" spans="1:17" s="5" customFormat="1" x14ac:dyDescent="0.25">
      <c r="A145" s="4">
        <v>144</v>
      </c>
      <c r="B145" s="4">
        <v>105</v>
      </c>
      <c r="C145" s="4" t="s">
        <v>32</v>
      </c>
      <c r="D145" s="4" t="s">
        <v>22</v>
      </c>
      <c r="E145" s="4" t="s">
        <v>61</v>
      </c>
      <c r="F145" s="4">
        <v>5</v>
      </c>
      <c r="G145" s="4">
        <v>6729</v>
      </c>
      <c r="H145" s="4">
        <v>7.4305245950364099E-4</v>
      </c>
      <c r="I145" s="4">
        <v>1139</v>
      </c>
      <c r="J145" s="4">
        <v>4.3898156277436297E-3</v>
      </c>
      <c r="K145" s="4">
        <v>5.1328680872472802E-3</v>
      </c>
      <c r="L145" s="4"/>
      <c r="M145" s="4"/>
      <c r="N145" s="4"/>
      <c r="O145" s="4"/>
      <c r="P145" s="4">
        <f>LN(F145)</f>
        <v>1.6094379124341003</v>
      </c>
      <c r="Q145" s="4"/>
    </row>
    <row r="146" spans="1:17" s="5" customFormat="1" x14ac:dyDescent="0.25">
      <c r="A146" s="5">
        <v>145</v>
      </c>
      <c r="B146" s="5">
        <v>59</v>
      </c>
      <c r="C146" s="5" t="s">
        <v>32</v>
      </c>
      <c r="D146" s="5" t="s">
        <v>21</v>
      </c>
      <c r="F146" s="5">
        <v>4</v>
      </c>
      <c r="G146" s="5">
        <v>6729</v>
      </c>
      <c r="H146" s="5">
        <v>5.9444196760291296E-4</v>
      </c>
      <c r="I146" s="5">
        <v>13644</v>
      </c>
      <c r="J146" s="5">
        <v>2.9316915860451502E-4</v>
      </c>
      <c r="K146" s="5">
        <v>8.8761112620742695E-4</v>
      </c>
      <c r="P146" s="5">
        <f>LN(F146)</f>
        <v>1.3862943611198906</v>
      </c>
    </row>
    <row r="147" spans="1:17" s="5" customFormat="1" x14ac:dyDescent="0.25">
      <c r="A147" s="4">
        <v>146</v>
      </c>
      <c r="B147" s="4">
        <v>33</v>
      </c>
      <c r="C147" s="4" t="s">
        <v>32</v>
      </c>
      <c r="D147" s="4" t="s">
        <v>31</v>
      </c>
      <c r="E147" s="4" t="s">
        <v>61</v>
      </c>
      <c r="F147" s="4">
        <v>3</v>
      </c>
      <c r="G147" s="4">
        <v>6729</v>
      </c>
      <c r="H147" s="4">
        <v>4.4583147570218499E-4</v>
      </c>
      <c r="I147" s="4">
        <v>3924</v>
      </c>
      <c r="J147" s="4">
        <v>7.6452599388379195E-4</v>
      </c>
      <c r="K147" s="4">
        <v>1.2103574695859799E-3</v>
      </c>
      <c r="L147" s="4"/>
      <c r="M147" s="4"/>
      <c r="N147" s="4"/>
      <c r="O147" s="4"/>
      <c r="P147" s="4">
        <f>LN(F147)</f>
        <v>1.0986122886681098</v>
      </c>
      <c r="Q147" s="4"/>
    </row>
    <row r="148" spans="1:17" s="5" customFormat="1" x14ac:dyDescent="0.25">
      <c r="A148" s="5">
        <v>147</v>
      </c>
      <c r="B148" s="5">
        <v>170</v>
      </c>
      <c r="C148" s="5" t="s">
        <v>32</v>
      </c>
      <c r="D148" s="5" t="s">
        <v>44</v>
      </c>
      <c r="F148" s="5">
        <v>3</v>
      </c>
      <c r="G148" s="5">
        <v>6729</v>
      </c>
      <c r="H148" s="5">
        <v>4.4583147570218499E-4</v>
      </c>
      <c r="I148" s="5">
        <v>3</v>
      </c>
      <c r="J148" s="5">
        <v>1</v>
      </c>
      <c r="K148" s="5">
        <v>1.0004458314757001</v>
      </c>
      <c r="P148" s="5">
        <f>LN(F148)</f>
        <v>1.0986122886681098</v>
      </c>
    </row>
    <row r="149" spans="1:17" s="5" customFormat="1" x14ac:dyDescent="0.25">
      <c r="A149" s="4">
        <v>148</v>
      </c>
      <c r="B149" s="4">
        <v>156</v>
      </c>
      <c r="C149" s="4" t="s">
        <v>32</v>
      </c>
      <c r="D149" s="4" t="s">
        <v>56</v>
      </c>
      <c r="E149" s="4" t="s">
        <v>61</v>
      </c>
      <c r="F149" s="4">
        <v>2</v>
      </c>
      <c r="G149" s="4">
        <v>6729</v>
      </c>
      <c r="H149" s="4">
        <v>2.9722098380145599E-4</v>
      </c>
      <c r="I149" s="4">
        <v>244</v>
      </c>
      <c r="J149" s="4">
        <v>8.1967213114754103E-3</v>
      </c>
      <c r="K149" s="4">
        <v>8.4939422952768698E-3</v>
      </c>
      <c r="L149" s="4"/>
      <c r="M149" s="4"/>
      <c r="N149" s="4"/>
      <c r="O149" s="4"/>
      <c r="P149" s="4">
        <f>LN(F149)</f>
        <v>0.69314718055994529</v>
      </c>
      <c r="Q149" s="4"/>
    </row>
    <row r="150" spans="1:17" s="5" customFormat="1" x14ac:dyDescent="0.25">
      <c r="A150" s="4">
        <v>149</v>
      </c>
      <c r="B150" s="4">
        <v>9</v>
      </c>
      <c r="C150" s="4" t="s">
        <v>32</v>
      </c>
      <c r="D150" s="4" t="s">
        <v>49</v>
      </c>
      <c r="E150" s="4" t="s">
        <v>61</v>
      </c>
      <c r="F150" s="4">
        <v>1</v>
      </c>
      <c r="G150" s="4">
        <v>6729</v>
      </c>
      <c r="H150" s="4">
        <v>1.48610491900728E-4</v>
      </c>
      <c r="I150" s="4">
        <v>3</v>
      </c>
      <c r="J150" s="4">
        <v>0.33333333333333298</v>
      </c>
      <c r="K150" s="4">
        <v>0.333481943825234</v>
      </c>
      <c r="L150" s="4"/>
      <c r="M150" s="4"/>
      <c r="N150" s="4"/>
      <c r="O150" s="4"/>
      <c r="P150" s="4">
        <f>LN(F150)</f>
        <v>0</v>
      </c>
      <c r="Q150" s="4"/>
    </row>
    <row r="151" spans="1:17" s="5" customFormat="1" x14ac:dyDescent="0.25">
      <c r="A151" s="4">
        <v>150</v>
      </c>
      <c r="B151" s="4">
        <v>11</v>
      </c>
      <c r="C151" s="4" t="s">
        <v>32</v>
      </c>
      <c r="D151" s="4" t="s">
        <v>15</v>
      </c>
      <c r="E151" s="4" t="s">
        <v>61</v>
      </c>
      <c r="F151" s="4">
        <v>1</v>
      </c>
      <c r="G151" s="4">
        <v>6729</v>
      </c>
      <c r="H151" s="4">
        <v>1.48610491900728E-4</v>
      </c>
      <c r="I151" s="4">
        <v>25</v>
      </c>
      <c r="J151" s="4">
        <v>0.04</v>
      </c>
      <c r="K151" s="4">
        <v>4.0148610491900702E-2</v>
      </c>
      <c r="L151" s="4"/>
      <c r="M151" s="4"/>
      <c r="N151" s="4"/>
      <c r="O151" s="4"/>
      <c r="P151" s="4">
        <f>LN(F151)</f>
        <v>0</v>
      </c>
      <c r="Q151" s="4"/>
    </row>
    <row r="152" spans="1:17" s="5" customFormat="1" x14ac:dyDescent="0.25">
      <c r="A152" s="4">
        <v>151</v>
      </c>
      <c r="B152" s="4">
        <v>26</v>
      </c>
      <c r="C152" s="4" t="s">
        <v>32</v>
      </c>
      <c r="D152" s="4" t="s">
        <v>48</v>
      </c>
      <c r="E152" s="4" t="s">
        <v>61</v>
      </c>
      <c r="F152" s="4">
        <v>1</v>
      </c>
      <c r="G152" s="4">
        <v>6729</v>
      </c>
      <c r="H152" s="4">
        <v>1.48610491900728E-4</v>
      </c>
      <c r="I152" s="4">
        <v>636</v>
      </c>
      <c r="J152" s="4">
        <v>1.5723270440251599E-3</v>
      </c>
      <c r="K152" s="4">
        <v>1.7209375359258899E-3</v>
      </c>
      <c r="L152" s="4"/>
      <c r="M152" s="4"/>
      <c r="N152" s="4"/>
      <c r="O152" s="4"/>
      <c r="P152" s="4">
        <f>LN(F152)</f>
        <v>0</v>
      </c>
      <c r="Q152" s="4"/>
    </row>
    <row r="153" spans="1:17" s="5" customFormat="1" x14ac:dyDescent="0.25">
      <c r="A153" s="5">
        <v>152</v>
      </c>
      <c r="B153" s="5">
        <v>86</v>
      </c>
      <c r="C153" s="5" t="s">
        <v>32</v>
      </c>
      <c r="D153" s="5" t="s">
        <v>46</v>
      </c>
      <c r="F153" s="5">
        <v>1</v>
      </c>
      <c r="G153" s="5">
        <v>6729</v>
      </c>
      <c r="H153" s="5">
        <v>1.48610491900728E-4</v>
      </c>
      <c r="I153" s="5">
        <v>220</v>
      </c>
      <c r="J153" s="5">
        <v>4.5454545454545496E-3</v>
      </c>
      <c r="K153" s="5">
        <v>4.6940650373552698E-3</v>
      </c>
      <c r="P153" s="5">
        <f>LN(F153)</f>
        <v>0</v>
      </c>
    </row>
    <row r="154" spans="1:17" s="5" customFormat="1" x14ac:dyDescent="0.25">
      <c r="A154" s="5">
        <v>153</v>
      </c>
      <c r="B154" s="5">
        <v>138</v>
      </c>
      <c r="C154" s="5" t="s">
        <v>16</v>
      </c>
      <c r="D154" s="5" t="s">
        <v>17</v>
      </c>
      <c r="F154" s="5">
        <v>27</v>
      </c>
      <c r="G154" s="5">
        <v>29</v>
      </c>
      <c r="H154" s="5">
        <v>0.931034482758621</v>
      </c>
      <c r="I154" s="5">
        <v>27</v>
      </c>
      <c r="J154" s="5">
        <v>1</v>
      </c>
      <c r="K154" s="5">
        <v>1.9310344827586201</v>
      </c>
      <c r="L154" s="5">
        <v>12</v>
      </c>
      <c r="M154" s="5">
        <v>0.92307692307692302</v>
      </c>
      <c r="N154" s="5">
        <v>1</v>
      </c>
      <c r="O154" s="5">
        <v>1.92307692307692</v>
      </c>
      <c r="P154" s="5">
        <f>LN(F154)</f>
        <v>3.2958368660043291</v>
      </c>
      <c r="Q154" s="5">
        <f>LN(L154)</f>
        <v>2.4849066497880004</v>
      </c>
    </row>
    <row r="155" spans="1:17" s="5" customFormat="1" x14ac:dyDescent="0.25">
      <c r="A155" s="5">
        <v>154</v>
      </c>
      <c r="B155" s="5">
        <v>62</v>
      </c>
      <c r="C155" s="5" t="s">
        <v>16</v>
      </c>
      <c r="D155" s="5" t="s">
        <v>21</v>
      </c>
      <c r="F155" s="5">
        <v>2</v>
      </c>
      <c r="G155" s="5">
        <v>29</v>
      </c>
      <c r="H155" s="5">
        <v>6.8965517241379296E-2</v>
      </c>
      <c r="I155" s="5">
        <v>13644</v>
      </c>
      <c r="J155" s="5">
        <v>1.4658457930225699E-4</v>
      </c>
      <c r="K155" s="5">
        <v>6.9112101820681601E-2</v>
      </c>
      <c r="L155" s="5">
        <v>1</v>
      </c>
      <c r="M155" s="5">
        <v>7.69230769230769E-2</v>
      </c>
      <c r="N155" s="5">
        <v>2.9154518950437301E-4</v>
      </c>
      <c r="O155" s="5">
        <v>7.7214622112581302E-2</v>
      </c>
      <c r="P155" s="5">
        <f>LN(F155)</f>
        <v>0.69314718055994529</v>
      </c>
      <c r="Q155" s="5">
        <f>LN(L155)</f>
        <v>0</v>
      </c>
    </row>
    <row r="156" spans="1:17" s="5" customFormat="1" x14ac:dyDescent="0.25">
      <c r="A156" s="5">
        <v>155</v>
      </c>
      <c r="B156" s="5">
        <v>139</v>
      </c>
      <c r="C156" s="5" t="s">
        <v>34</v>
      </c>
      <c r="D156" s="5" t="s">
        <v>35</v>
      </c>
      <c r="F156" s="5">
        <v>2086</v>
      </c>
      <c r="G156" s="5">
        <v>2458</v>
      </c>
      <c r="H156" s="5">
        <v>0.84865744507729901</v>
      </c>
      <c r="I156" s="5">
        <v>2533</v>
      </c>
      <c r="J156" s="5">
        <v>0.82352941176470595</v>
      </c>
      <c r="K156" s="5">
        <v>1.672186856842</v>
      </c>
      <c r="L156" s="5">
        <v>5</v>
      </c>
      <c r="M156" s="5">
        <v>5.7471264367816098E-2</v>
      </c>
      <c r="N156" s="5">
        <v>3.5211267605633798E-2</v>
      </c>
      <c r="O156" s="5">
        <v>9.2682531973449903E-2</v>
      </c>
      <c r="P156" s="5">
        <f>LN(F156)</f>
        <v>7.643003635560718</v>
      </c>
      <c r="Q156" s="5">
        <f>LN(L156)</f>
        <v>1.6094379124341003</v>
      </c>
    </row>
    <row r="157" spans="1:17" s="5" customFormat="1" x14ac:dyDescent="0.25">
      <c r="A157" s="5">
        <v>156</v>
      </c>
      <c r="B157" s="5">
        <v>28</v>
      </c>
      <c r="C157" s="5" t="s">
        <v>34</v>
      </c>
      <c r="D157" s="5" t="s">
        <v>31</v>
      </c>
      <c r="F157" s="5">
        <v>123</v>
      </c>
      <c r="G157" s="5">
        <v>2458</v>
      </c>
      <c r="H157" s="5">
        <v>5.00406834825061E-2</v>
      </c>
      <c r="I157" s="5">
        <v>3924</v>
      </c>
      <c r="J157" s="5">
        <v>3.1345565749235499E-2</v>
      </c>
      <c r="K157" s="5">
        <v>8.1386249231741606E-2</v>
      </c>
      <c r="L157" s="5">
        <v>34</v>
      </c>
      <c r="M157" s="5">
        <v>0.390804597701149</v>
      </c>
      <c r="N157" s="5">
        <v>1.7689906347554601E-2</v>
      </c>
      <c r="O157" s="5">
        <v>0.40849450404870402</v>
      </c>
      <c r="P157" s="5">
        <f>LN(F157)</f>
        <v>4.8121843553724171</v>
      </c>
      <c r="Q157" s="5">
        <f>LN(L157)</f>
        <v>3.5263605246161616</v>
      </c>
    </row>
    <row r="158" spans="1:17" s="5" customFormat="1" x14ac:dyDescent="0.25">
      <c r="A158" s="5">
        <v>157</v>
      </c>
      <c r="B158" s="5">
        <v>22</v>
      </c>
      <c r="C158" s="5" t="s">
        <v>34</v>
      </c>
      <c r="D158" s="5" t="s">
        <v>48</v>
      </c>
      <c r="F158" s="5">
        <v>70</v>
      </c>
      <c r="G158" s="5">
        <v>2458</v>
      </c>
      <c r="H158" s="5">
        <v>2.84784377542718E-2</v>
      </c>
      <c r="I158" s="5">
        <v>636</v>
      </c>
      <c r="J158" s="5">
        <v>0.110062893081761</v>
      </c>
      <c r="K158" s="5">
        <v>0.13854133083603301</v>
      </c>
      <c r="L158" s="5">
        <v>34</v>
      </c>
      <c r="M158" s="5">
        <v>0.390804597701149</v>
      </c>
      <c r="N158" s="5">
        <v>0.107936507936508</v>
      </c>
      <c r="O158" s="5">
        <v>0.498741105637657</v>
      </c>
      <c r="P158" s="5">
        <f>LN(F158)</f>
        <v>4.2484952420493594</v>
      </c>
      <c r="Q158" s="5">
        <f>LN(L158)</f>
        <v>3.5263605246161616</v>
      </c>
    </row>
    <row r="159" spans="1:17" s="5" customFormat="1" x14ac:dyDescent="0.25">
      <c r="A159" s="5">
        <v>158</v>
      </c>
      <c r="B159" s="5">
        <v>152</v>
      </c>
      <c r="C159" s="5" t="s">
        <v>34</v>
      </c>
      <c r="D159" s="5" t="s">
        <v>56</v>
      </c>
      <c r="F159" s="5">
        <v>60</v>
      </c>
      <c r="G159" s="5">
        <v>2458</v>
      </c>
      <c r="H159" s="5">
        <v>2.4410089503661501E-2</v>
      </c>
      <c r="I159" s="5">
        <v>244</v>
      </c>
      <c r="J159" s="5">
        <v>0.24590163934426201</v>
      </c>
      <c r="K159" s="5">
        <v>0.27031172884792398</v>
      </c>
      <c r="P159" s="5">
        <f>LN(F159)</f>
        <v>4.0943445622221004</v>
      </c>
    </row>
    <row r="160" spans="1:17" s="5" customFormat="1" x14ac:dyDescent="0.25">
      <c r="A160" s="5">
        <v>159</v>
      </c>
      <c r="B160" s="5">
        <v>189</v>
      </c>
      <c r="C160" s="5" t="s">
        <v>34</v>
      </c>
      <c r="D160" s="5" t="s">
        <v>42</v>
      </c>
      <c r="F160" s="5">
        <v>49</v>
      </c>
      <c r="G160" s="5">
        <v>2458</v>
      </c>
      <c r="H160" s="5">
        <v>1.9934906427990201E-2</v>
      </c>
      <c r="I160" s="5">
        <v>3128</v>
      </c>
      <c r="J160" s="5">
        <v>1.5664961636828598E-2</v>
      </c>
      <c r="K160" s="5">
        <v>3.55998680648189E-2</v>
      </c>
      <c r="L160" s="5">
        <v>4</v>
      </c>
      <c r="M160" s="5">
        <v>4.5977011494252901E-2</v>
      </c>
      <c r="N160" s="5">
        <v>8.7912087912087895E-3</v>
      </c>
      <c r="O160" s="5">
        <v>5.4768220285461702E-2</v>
      </c>
      <c r="P160" s="5">
        <f>LN(F160)</f>
        <v>3.8918202981106265</v>
      </c>
      <c r="Q160" s="5">
        <f>LN(L160)</f>
        <v>1.3862943611198906</v>
      </c>
    </row>
    <row r="161" spans="1:17" s="5" customFormat="1" x14ac:dyDescent="0.25">
      <c r="A161" s="5">
        <v>160</v>
      </c>
      <c r="B161" s="5">
        <v>67</v>
      </c>
      <c r="C161" s="5" t="s">
        <v>34</v>
      </c>
      <c r="D161" s="5" t="s">
        <v>59</v>
      </c>
      <c r="F161" s="5">
        <v>27</v>
      </c>
      <c r="G161" s="5">
        <v>2458</v>
      </c>
      <c r="H161" s="5">
        <v>1.0984540276647701E-2</v>
      </c>
      <c r="I161" s="5">
        <v>258</v>
      </c>
      <c r="J161" s="5">
        <v>0.104651162790698</v>
      </c>
      <c r="K161" s="5">
        <v>0.115635703067345</v>
      </c>
      <c r="L161" s="5">
        <v>1</v>
      </c>
      <c r="M161" s="5">
        <v>1.1494252873563199E-2</v>
      </c>
      <c r="N161" s="5">
        <v>1.1494252873563199E-2</v>
      </c>
      <c r="O161" s="5">
        <v>2.2988505747126398E-2</v>
      </c>
      <c r="P161" s="5">
        <f>LN(F161)</f>
        <v>3.2958368660043291</v>
      </c>
      <c r="Q161" s="5">
        <f>LN(L161)</f>
        <v>0</v>
      </c>
    </row>
    <row r="162" spans="1:17" s="5" customFormat="1" x14ac:dyDescent="0.25">
      <c r="A162" s="5">
        <v>161</v>
      </c>
      <c r="B162" s="5">
        <v>123</v>
      </c>
      <c r="C162" s="5" t="s">
        <v>34</v>
      </c>
      <c r="D162" s="5" t="s">
        <v>29</v>
      </c>
      <c r="F162" s="5">
        <v>15</v>
      </c>
      <c r="G162" s="5">
        <v>2458</v>
      </c>
      <c r="H162" s="5">
        <v>6.1025223759153804E-3</v>
      </c>
      <c r="I162" s="5">
        <v>5305</v>
      </c>
      <c r="J162" s="5">
        <v>2.8275212064090499E-3</v>
      </c>
      <c r="K162" s="5">
        <v>8.9300435823244304E-3</v>
      </c>
      <c r="L162" s="5">
        <v>5</v>
      </c>
      <c r="M162" s="5">
        <v>5.7471264367816098E-2</v>
      </c>
      <c r="N162" s="5">
        <v>4.2553191489361703E-3</v>
      </c>
      <c r="O162" s="5">
        <v>6.1726583516752302E-2</v>
      </c>
      <c r="P162" s="5">
        <f>LN(F162)</f>
        <v>2.7080502011022101</v>
      </c>
      <c r="Q162" s="5">
        <f>LN(L162)</f>
        <v>1.6094379124341003</v>
      </c>
    </row>
    <row r="163" spans="1:17" s="5" customFormat="1" x14ac:dyDescent="0.25">
      <c r="A163" s="5">
        <v>162</v>
      </c>
      <c r="B163" s="5">
        <v>56</v>
      </c>
      <c r="C163" s="5" t="s">
        <v>34</v>
      </c>
      <c r="D163" s="5" t="s">
        <v>21</v>
      </c>
      <c r="F163" s="5">
        <v>10</v>
      </c>
      <c r="G163" s="5">
        <v>2458</v>
      </c>
      <c r="H163" s="5">
        <v>4.0683482506102498E-3</v>
      </c>
      <c r="I163" s="5">
        <v>13644</v>
      </c>
      <c r="J163" s="5">
        <v>7.3292289651128697E-4</v>
      </c>
      <c r="K163" s="5">
        <v>4.80127114712154E-3</v>
      </c>
      <c r="L163" s="5">
        <v>2</v>
      </c>
      <c r="M163" s="5">
        <v>2.2988505747126398E-2</v>
      </c>
      <c r="N163" s="5">
        <v>5.8309037900874602E-4</v>
      </c>
      <c r="O163" s="5">
        <v>2.35715961261352E-2</v>
      </c>
      <c r="P163" s="5">
        <f>LN(F163)</f>
        <v>2.3025850929940459</v>
      </c>
      <c r="Q163" s="5">
        <f>LN(L163)</f>
        <v>0.69314718055994529</v>
      </c>
    </row>
    <row r="164" spans="1:17" s="5" customFormat="1" x14ac:dyDescent="0.25">
      <c r="A164" s="3">
        <v>163</v>
      </c>
      <c r="B164" s="3">
        <v>39</v>
      </c>
      <c r="C164" s="3" t="s">
        <v>34</v>
      </c>
      <c r="D164" s="3" t="s">
        <v>24</v>
      </c>
      <c r="E164" s="3" t="s">
        <v>63</v>
      </c>
      <c r="F164" s="3">
        <v>7</v>
      </c>
      <c r="G164" s="3">
        <v>2458</v>
      </c>
      <c r="H164" s="3">
        <v>2.84784377542718E-3</v>
      </c>
      <c r="I164" s="3">
        <v>2287</v>
      </c>
      <c r="J164" s="3">
        <v>3.0607783121993901E-3</v>
      </c>
      <c r="K164" s="3">
        <v>5.9086220876265602E-3</v>
      </c>
      <c r="L164" s="3"/>
      <c r="M164" s="3"/>
      <c r="N164" s="3"/>
      <c r="O164" s="3"/>
      <c r="P164" s="3">
        <f>LN(F164)</f>
        <v>1.9459101490553132</v>
      </c>
      <c r="Q164" s="3"/>
    </row>
    <row r="165" spans="1:17" s="5" customFormat="1" x14ac:dyDescent="0.25">
      <c r="A165" s="3">
        <v>164</v>
      </c>
      <c r="B165" s="3">
        <v>94</v>
      </c>
      <c r="C165" s="3" t="s">
        <v>34</v>
      </c>
      <c r="D165" s="3" t="s">
        <v>40</v>
      </c>
      <c r="E165" s="3" t="s">
        <v>63</v>
      </c>
      <c r="F165" s="3">
        <v>3</v>
      </c>
      <c r="G165" s="3">
        <v>2458</v>
      </c>
      <c r="H165" s="3">
        <v>1.22050447518308E-3</v>
      </c>
      <c r="I165" s="3">
        <v>879</v>
      </c>
      <c r="J165" s="3">
        <v>3.4129692832764501E-3</v>
      </c>
      <c r="K165" s="3">
        <v>4.6334737584595304E-3</v>
      </c>
      <c r="L165" s="3">
        <v>1</v>
      </c>
      <c r="M165" s="3">
        <v>1.1494252873563199E-2</v>
      </c>
      <c r="N165" s="3">
        <v>3.7174721189591098E-3</v>
      </c>
      <c r="O165" s="3">
        <v>1.52117249925223E-2</v>
      </c>
      <c r="P165" s="3">
        <f>LN(F165)</f>
        <v>1.0986122886681098</v>
      </c>
      <c r="Q165" s="3">
        <f>LN(L165)</f>
        <v>0</v>
      </c>
    </row>
    <row r="166" spans="1:17" s="5" customFormat="1" x14ac:dyDescent="0.25">
      <c r="A166" s="3">
        <v>165</v>
      </c>
      <c r="B166" s="3">
        <v>167</v>
      </c>
      <c r="C166" s="3" t="s">
        <v>34</v>
      </c>
      <c r="D166" s="3" t="s">
        <v>28</v>
      </c>
      <c r="E166" s="3" t="s">
        <v>63</v>
      </c>
      <c r="F166" s="3">
        <v>3</v>
      </c>
      <c r="G166" s="3">
        <v>2458</v>
      </c>
      <c r="H166" s="3">
        <v>1.22050447518308E-3</v>
      </c>
      <c r="I166" s="3">
        <v>586</v>
      </c>
      <c r="J166" s="3">
        <v>5.1194539249146799E-3</v>
      </c>
      <c r="K166" s="3">
        <v>6.3399584000977498E-3</v>
      </c>
      <c r="L166" s="3">
        <v>1</v>
      </c>
      <c r="M166" s="3">
        <v>1.1494252873563199E-2</v>
      </c>
      <c r="N166" s="3">
        <v>4.3290043290043299E-3</v>
      </c>
      <c r="O166" s="3">
        <v>1.5823257202567501E-2</v>
      </c>
      <c r="P166" s="3">
        <f>LN(F166)</f>
        <v>1.0986122886681098</v>
      </c>
      <c r="Q166" s="3">
        <f>LN(L166)</f>
        <v>0</v>
      </c>
    </row>
    <row r="167" spans="1:17" s="5" customFormat="1" x14ac:dyDescent="0.25">
      <c r="A167" s="5">
        <v>166</v>
      </c>
      <c r="B167" s="5">
        <v>84</v>
      </c>
      <c r="C167" s="5" t="s">
        <v>34</v>
      </c>
      <c r="D167" s="5" t="s">
        <v>46</v>
      </c>
      <c r="F167" s="5">
        <v>2</v>
      </c>
      <c r="G167" s="5">
        <v>2458</v>
      </c>
      <c r="H167" s="5">
        <v>8.1366965012204999E-4</v>
      </c>
      <c r="I167" s="5">
        <v>220</v>
      </c>
      <c r="J167" s="5">
        <v>9.0909090909090905E-3</v>
      </c>
      <c r="K167" s="5">
        <v>9.9045787410311399E-3</v>
      </c>
      <c r="P167" s="5">
        <f>LN(F167)</f>
        <v>0.69314718055994529</v>
      </c>
    </row>
    <row r="168" spans="1:17" s="5" customFormat="1" x14ac:dyDescent="0.25">
      <c r="A168" s="5">
        <v>167</v>
      </c>
      <c r="B168" s="5">
        <v>118</v>
      </c>
      <c r="C168" s="5" t="s">
        <v>34</v>
      </c>
      <c r="D168" s="5" t="s">
        <v>58</v>
      </c>
      <c r="F168" s="5">
        <v>2</v>
      </c>
      <c r="G168" s="5">
        <v>2458</v>
      </c>
      <c r="H168" s="5">
        <v>8.1366965012204999E-4</v>
      </c>
      <c r="I168" s="5">
        <v>28</v>
      </c>
      <c r="J168" s="5">
        <v>7.1428571428571397E-2</v>
      </c>
      <c r="K168" s="5">
        <v>7.2242241078693495E-2</v>
      </c>
      <c r="P168" s="5">
        <f>LN(F168)</f>
        <v>0.69314718055994529</v>
      </c>
    </row>
    <row r="169" spans="1:17" s="5" customFormat="1" x14ac:dyDescent="0.25">
      <c r="A169" s="4">
        <v>168</v>
      </c>
      <c r="B169" s="4">
        <v>181</v>
      </c>
      <c r="C169" s="4" t="s">
        <v>34</v>
      </c>
      <c r="D169" s="4" t="s">
        <v>33</v>
      </c>
      <c r="E169" s="4" t="s">
        <v>61</v>
      </c>
      <c r="F169" s="4">
        <v>1</v>
      </c>
      <c r="G169" s="4">
        <v>2458</v>
      </c>
      <c r="H169" s="4">
        <v>4.06834825061025E-4</v>
      </c>
      <c r="I169" s="4">
        <v>4779</v>
      </c>
      <c r="J169" s="4">
        <v>2.09248796819418E-4</v>
      </c>
      <c r="K169" s="4">
        <v>6.1608362188044397E-4</v>
      </c>
      <c r="L169" s="4"/>
      <c r="M169" s="4"/>
      <c r="N169" s="4"/>
      <c r="O169" s="4"/>
      <c r="P169" s="4">
        <f>LN(F169)</f>
        <v>0</v>
      </c>
      <c r="Q169" s="4"/>
    </row>
    <row r="170" spans="1:17" s="5" customFormat="1" x14ac:dyDescent="0.25">
      <c r="A170" s="5">
        <v>169</v>
      </c>
      <c r="B170" s="5">
        <v>91</v>
      </c>
      <c r="C170" s="5" t="s">
        <v>39</v>
      </c>
      <c r="D170" s="5" t="s">
        <v>40</v>
      </c>
      <c r="F170" s="5">
        <v>535</v>
      </c>
      <c r="G170" s="5">
        <v>623</v>
      </c>
      <c r="H170" s="5">
        <v>0.85874799357945397</v>
      </c>
      <c r="I170" s="5">
        <v>879</v>
      </c>
      <c r="J170" s="5">
        <v>0.608646188850967</v>
      </c>
      <c r="K170" s="5">
        <v>1.46739418243042</v>
      </c>
      <c r="L170" s="5">
        <v>147</v>
      </c>
      <c r="M170" s="5">
        <v>0.880239520958084</v>
      </c>
      <c r="N170" s="5">
        <v>0.54646840148698905</v>
      </c>
      <c r="O170" s="5">
        <v>1.4267079224450701</v>
      </c>
      <c r="P170" s="5">
        <f>LN(F170)</f>
        <v>6.2822667468960063</v>
      </c>
      <c r="Q170" s="5">
        <f>LN(L170)</f>
        <v>4.990432586778736</v>
      </c>
    </row>
    <row r="171" spans="1:17" s="5" customFormat="1" x14ac:dyDescent="0.25">
      <c r="A171" s="5">
        <v>170</v>
      </c>
      <c r="B171" s="5">
        <v>75</v>
      </c>
      <c r="C171" s="5" t="s">
        <v>39</v>
      </c>
      <c r="D171" s="5" t="s">
        <v>46</v>
      </c>
      <c r="F171" s="5">
        <v>21</v>
      </c>
      <c r="G171" s="5">
        <v>623</v>
      </c>
      <c r="H171" s="5">
        <v>3.3707865168539297E-2</v>
      </c>
      <c r="I171" s="5">
        <v>220</v>
      </c>
      <c r="J171" s="5">
        <v>9.54545454545455E-2</v>
      </c>
      <c r="K171" s="5">
        <v>0.12916241062308501</v>
      </c>
      <c r="L171" s="5">
        <v>7</v>
      </c>
      <c r="M171" s="5">
        <v>4.1916167664670698E-2</v>
      </c>
      <c r="N171" s="5">
        <v>8.8607594936708903E-2</v>
      </c>
      <c r="O171" s="5">
        <v>0.13052376260137999</v>
      </c>
      <c r="P171" s="5">
        <f>LN(F171)</f>
        <v>3.044522437723423</v>
      </c>
      <c r="Q171" s="5">
        <f>LN(L171)</f>
        <v>1.9459101490553132</v>
      </c>
    </row>
    <row r="172" spans="1:17" s="5" customFormat="1" x14ac:dyDescent="0.25">
      <c r="A172" s="5">
        <v>171</v>
      </c>
      <c r="B172" s="5">
        <v>165</v>
      </c>
      <c r="C172" s="5" t="s">
        <v>39</v>
      </c>
      <c r="D172" s="5" t="s">
        <v>28</v>
      </c>
      <c r="F172" s="5">
        <v>19</v>
      </c>
      <c r="G172" s="5">
        <v>623</v>
      </c>
      <c r="H172" s="5">
        <v>3.04975922953451E-2</v>
      </c>
      <c r="I172" s="5">
        <v>586</v>
      </c>
      <c r="J172" s="5">
        <v>3.2423208191126297E-2</v>
      </c>
      <c r="K172" s="5">
        <v>6.2920800486471404E-2</v>
      </c>
      <c r="L172" s="5">
        <v>1</v>
      </c>
      <c r="M172" s="5">
        <v>5.9880239520958096E-3</v>
      </c>
      <c r="N172" s="5">
        <v>4.3290043290043299E-3</v>
      </c>
      <c r="O172" s="5">
        <v>1.03170282811001E-2</v>
      </c>
      <c r="P172" s="5">
        <f>LN(F172)</f>
        <v>2.9444389791664403</v>
      </c>
      <c r="Q172" s="5">
        <f>LN(L172)</f>
        <v>0</v>
      </c>
    </row>
    <row r="173" spans="1:17" s="5" customFormat="1" x14ac:dyDescent="0.25">
      <c r="A173" s="5">
        <v>172</v>
      </c>
      <c r="B173" s="5">
        <v>54</v>
      </c>
      <c r="C173" s="5" t="s">
        <v>39</v>
      </c>
      <c r="D173" s="5" t="s">
        <v>21</v>
      </c>
      <c r="F173" s="5">
        <v>13</v>
      </c>
      <c r="G173" s="5">
        <v>623</v>
      </c>
      <c r="H173" s="5">
        <v>2.0866773675762399E-2</v>
      </c>
      <c r="I173" s="5">
        <v>13644</v>
      </c>
      <c r="J173" s="5">
        <v>9.5279976546467303E-4</v>
      </c>
      <c r="K173" s="5">
        <v>2.1819573441227098E-2</v>
      </c>
      <c r="L173" s="5">
        <v>2</v>
      </c>
      <c r="M173" s="5">
        <v>1.19760479041916E-2</v>
      </c>
      <c r="N173" s="5">
        <v>5.8309037900874602E-4</v>
      </c>
      <c r="O173" s="5">
        <v>1.25591382832004E-2</v>
      </c>
      <c r="P173" s="5">
        <f>LN(F173)</f>
        <v>2.5649493574615367</v>
      </c>
      <c r="Q173" s="5">
        <f>LN(L173)</f>
        <v>0.69314718055994529</v>
      </c>
    </row>
    <row r="174" spans="1:17" s="5" customFormat="1" x14ac:dyDescent="0.25">
      <c r="A174" s="5">
        <v>173</v>
      </c>
      <c r="B174" s="5">
        <v>101</v>
      </c>
      <c r="C174" s="5" t="s">
        <v>39</v>
      </c>
      <c r="D174" s="5" t="s">
        <v>22</v>
      </c>
      <c r="F174" s="5">
        <v>9</v>
      </c>
      <c r="G174" s="5">
        <v>623</v>
      </c>
      <c r="H174" s="5">
        <v>1.4446227929374E-2</v>
      </c>
      <c r="I174" s="5">
        <v>1139</v>
      </c>
      <c r="J174" s="5">
        <v>7.9016681299385397E-3</v>
      </c>
      <c r="K174" s="5">
        <v>2.2347896059312498E-2</v>
      </c>
      <c r="L174" s="5">
        <v>3</v>
      </c>
      <c r="M174" s="5">
        <v>1.79640718562874E-2</v>
      </c>
      <c r="N174" s="5">
        <v>7.4257425742574297E-3</v>
      </c>
      <c r="O174" s="5">
        <v>2.5389814430544801E-2</v>
      </c>
      <c r="P174" s="5">
        <f>LN(F174)</f>
        <v>2.1972245773362196</v>
      </c>
      <c r="Q174" s="5">
        <f>LN(L174)</f>
        <v>1.0986122886681098</v>
      </c>
    </row>
    <row r="175" spans="1:17" s="5" customFormat="1" x14ac:dyDescent="0.25">
      <c r="A175" s="5">
        <v>174</v>
      </c>
      <c r="B175" s="5">
        <v>127</v>
      </c>
      <c r="C175" s="5" t="s">
        <v>39</v>
      </c>
      <c r="D175" s="5" t="s">
        <v>29</v>
      </c>
      <c r="F175" s="5">
        <v>7</v>
      </c>
      <c r="G175" s="5">
        <v>623</v>
      </c>
      <c r="H175" s="5">
        <v>1.1235955056179799E-2</v>
      </c>
      <c r="I175" s="5">
        <v>5305</v>
      </c>
      <c r="J175" s="5">
        <v>1.3195098963242201E-3</v>
      </c>
      <c r="K175" s="5">
        <v>1.2555464952504E-2</v>
      </c>
      <c r="L175" s="5">
        <v>2</v>
      </c>
      <c r="M175" s="5">
        <v>1.19760479041916E-2</v>
      </c>
      <c r="N175" s="5">
        <v>1.70212765957447E-3</v>
      </c>
      <c r="O175" s="5">
        <v>1.3678175563766101E-2</v>
      </c>
      <c r="P175" s="5">
        <f>LN(F175)</f>
        <v>1.9459101490553132</v>
      </c>
      <c r="Q175" s="5">
        <f>LN(L175)</f>
        <v>0.69314718055994529</v>
      </c>
    </row>
    <row r="176" spans="1:17" s="5" customFormat="1" x14ac:dyDescent="0.25">
      <c r="A176" s="5">
        <v>175</v>
      </c>
      <c r="B176" s="5">
        <v>195</v>
      </c>
      <c r="C176" s="5" t="s">
        <v>39</v>
      </c>
      <c r="D176" s="5" t="s">
        <v>42</v>
      </c>
      <c r="F176" s="5">
        <v>5</v>
      </c>
      <c r="G176" s="5">
        <v>623</v>
      </c>
      <c r="H176" s="5">
        <v>8.0256821829855496E-3</v>
      </c>
      <c r="I176" s="5">
        <v>3128</v>
      </c>
      <c r="J176" s="5">
        <v>1.59846547314578E-3</v>
      </c>
      <c r="K176" s="5">
        <v>9.6241476561313294E-3</v>
      </c>
      <c r="L176" s="5">
        <v>1</v>
      </c>
      <c r="M176" s="5">
        <v>5.9880239520958096E-3</v>
      </c>
      <c r="N176" s="5">
        <v>2.1978021978022E-3</v>
      </c>
      <c r="O176" s="5">
        <v>8.1858261498980091E-3</v>
      </c>
      <c r="P176" s="5">
        <f>LN(F176)</f>
        <v>1.6094379124341003</v>
      </c>
      <c r="Q176" s="5">
        <f>LN(L176)</f>
        <v>0</v>
      </c>
    </row>
    <row r="177" spans="1:17" s="5" customFormat="1" x14ac:dyDescent="0.25">
      <c r="A177" s="3">
        <v>176</v>
      </c>
      <c r="B177" s="3">
        <v>48</v>
      </c>
      <c r="C177" s="3" t="s">
        <v>39</v>
      </c>
      <c r="D177" s="3" t="s">
        <v>37</v>
      </c>
      <c r="E177" s="3" t="s">
        <v>63</v>
      </c>
      <c r="F177" s="3">
        <v>3</v>
      </c>
      <c r="G177" s="3">
        <v>623</v>
      </c>
      <c r="H177" s="3">
        <v>4.8154093097913303E-3</v>
      </c>
      <c r="I177" s="3">
        <v>27</v>
      </c>
      <c r="J177" s="3">
        <v>0.11111111111111099</v>
      </c>
      <c r="K177" s="3">
        <v>0.115926520420902</v>
      </c>
      <c r="L177" s="3">
        <v>1</v>
      </c>
      <c r="M177" s="3">
        <v>5.9880239520958096E-3</v>
      </c>
      <c r="N177" s="3">
        <v>0.1</v>
      </c>
      <c r="O177" s="3">
        <v>0.105988023952096</v>
      </c>
      <c r="P177" s="3">
        <f>LN(F177)</f>
        <v>1.0986122886681098</v>
      </c>
      <c r="Q177" s="3">
        <f>LN(L177)</f>
        <v>0</v>
      </c>
    </row>
    <row r="178" spans="1:17" s="5" customFormat="1" x14ac:dyDescent="0.25">
      <c r="A178" s="3">
        <v>177</v>
      </c>
      <c r="B178" s="3">
        <v>147</v>
      </c>
      <c r="C178" s="3" t="s">
        <v>39</v>
      </c>
      <c r="D178" s="3" t="s">
        <v>35</v>
      </c>
      <c r="E178" s="3" t="s">
        <v>63</v>
      </c>
      <c r="F178" s="3">
        <v>3</v>
      </c>
      <c r="G178" s="3">
        <v>623</v>
      </c>
      <c r="H178" s="3">
        <v>4.8154093097913303E-3</v>
      </c>
      <c r="I178" s="3">
        <v>2533</v>
      </c>
      <c r="J178" s="3">
        <v>1.18436636399526E-3</v>
      </c>
      <c r="K178" s="3">
        <v>5.9997756737865896E-3</v>
      </c>
      <c r="L178" s="3"/>
      <c r="M178" s="3"/>
      <c r="N178" s="3"/>
      <c r="O178" s="3"/>
      <c r="P178" s="3">
        <f>LN(F178)</f>
        <v>1.0986122886681098</v>
      </c>
      <c r="Q178" s="3"/>
    </row>
    <row r="179" spans="1:17" s="5" customFormat="1" x14ac:dyDescent="0.25">
      <c r="A179" s="5">
        <v>178</v>
      </c>
      <c r="B179" s="5">
        <v>7</v>
      </c>
      <c r="C179" s="5" t="s">
        <v>39</v>
      </c>
      <c r="D179" s="5" t="s">
        <v>52</v>
      </c>
      <c r="F179" s="5">
        <v>2</v>
      </c>
      <c r="G179" s="5">
        <v>623</v>
      </c>
      <c r="H179" s="5">
        <v>3.2102728731942202E-3</v>
      </c>
      <c r="I179" s="5">
        <v>62</v>
      </c>
      <c r="J179" s="5">
        <v>3.2258064516128997E-2</v>
      </c>
      <c r="K179" s="5">
        <v>3.5468337389323201E-2</v>
      </c>
      <c r="L179" s="5">
        <v>1</v>
      </c>
      <c r="M179" s="5">
        <v>5.9880239520958096E-3</v>
      </c>
      <c r="N179" s="5">
        <v>4.3478260869565202E-2</v>
      </c>
      <c r="O179" s="5">
        <v>4.9466284821661002E-2</v>
      </c>
      <c r="P179" s="5">
        <f>LN(F179)</f>
        <v>0.69314718055994529</v>
      </c>
      <c r="Q179" s="5">
        <f>LN(L179)</f>
        <v>0</v>
      </c>
    </row>
    <row r="180" spans="1:17" s="5" customFormat="1" x14ac:dyDescent="0.25">
      <c r="A180" s="5">
        <v>179</v>
      </c>
      <c r="B180" s="5">
        <v>8</v>
      </c>
      <c r="C180" s="5" t="s">
        <v>39</v>
      </c>
      <c r="D180" s="5" t="s">
        <v>49</v>
      </c>
      <c r="F180" s="5">
        <v>2</v>
      </c>
      <c r="G180" s="5">
        <v>623</v>
      </c>
      <c r="H180" s="5">
        <v>3.2102728731942202E-3</v>
      </c>
      <c r="I180" s="5">
        <v>3</v>
      </c>
      <c r="J180" s="5">
        <v>0.66666666666666696</v>
      </c>
      <c r="K180" s="5">
        <v>0.66987693953986105</v>
      </c>
      <c r="L180" s="5">
        <v>1</v>
      </c>
      <c r="M180" s="5">
        <v>5.9880239520958096E-3</v>
      </c>
      <c r="N180" s="5">
        <v>1</v>
      </c>
      <c r="O180" s="5">
        <v>1.0059880239521</v>
      </c>
      <c r="P180" s="5">
        <f>LN(F180)</f>
        <v>0.69314718055994529</v>
      </c>
      <c r="Q180" s="5">
        <f>LN(L180)</f>
        <v>0</v>
      </c>
    </row>
    <row r="181" spans="1:17" s="5" customFormat="1" x14ac:dyDescent="0.25">
      <c r="A181" s="4">
        <v>180</v>
      </c>
      <c r="B181" s="4">
        <v>178</v>
      </c>
      <c r="C181" s="4" t="s">
        <v>39</v>
      </c>
      <c r="D181" s="4" t="s">
        <v>33</v>
      </c>
      <c r="E181" s="4" t="s">
        <v>61</v>
      </c>
      <c r="F181" s="4">
        <v>2</v>
      </c>
      <c r="G181" s="4">
        <v>623</v>
      </c>
      <c r="H181" s="4">
        <v>3.2102728731942202E-3</v>
      </c>
      <c r="I181" s="4">
        <v>4779</v>
      </c>
      <c r="J181" s="4">
        <v>4.1849759363883702E-4</v>
      </c>
      <c r="K181" s="4">
        <v>3.62877046683306E-3</v>
      </c>
      <c r="L181" s="4">
        <v>1</v>
      </c>
      <c r="M181" s="4">
        <v>5.9880239520958096E-3</v>
      </c>
      <c r="N181" s="4">
        <v>1.67224080267559E-3</v>
      </c>
      <c r="O181" s="4">
        <v>7.6602647547713903E-3</v>
      </c>
      <c r="P181" s="4">
        <f>LN(F181)</f>
        <v>0.69314718055994529</v>
      </c>
      <c r="Q181" s="4">
        <f>LN(L181)</f>
        <v>0</v>
      </c>
    </row>
    <row r="182" spans="1:17" s="5" customFormat="1" x14ac:dyDescent="0.25">
      <c r="A182" s="3">
        <v>181</v>
      </c>
      <c r="B182" s="3">
        <v>34</v>
      </c>
      <c r="C182" s="3" t="s">
        <v>39</v>
      </c>
      <c r="D182" s="3" t="s">
        <v>31</v>
      </c>
      <c r="E182" s="3" t="s">
        <v>63</v>
      </c>
      <c r="F182" s="3">
        <v>1</v>
      </c>
      <c r="G182" s="3">
        <v>623</v>
      </c>
      <c r="H182" s="3">
        <v>1.6051364365971101E-3</v>
      </c>
      <c r="I182" s="3">
        <v>3924</v>
      </c>
      <c r="J182" s="3">
        <v>2.5484199796126398E-4</v>
      </c>
      <c r="K182" s="3">
        <v>1.85997843455837E-3</v>
      </c>
      <c r="L182" s="3"/>
      <c r="M182" s="3"/>
      <c r="N182" s="3"/>
      <c r="O182" s="3"/>
      <c r="P182" s="3">
        <f>LN(F182)</f>
        <v>0</v>
      </c>
      <c r="Q182" s="3"/>
    </row>
    <row r="183" spans="1:17" s="5" customFormat="1" x14ac:dyDescent="0.25">
      <c r="A183" s="5">
        <v>182</v>
      </c>
      <c r="B183" s="5">
        <v>134</v>
      </c>
      <c r="C183" s="5" t="s">
        <v>39</v>
      </c>
      <c r="D183" s="5" t="s">
        <v>43</v>
      </c>
      <c r="F183" s="5">
        <v>1</v>
      </c>
      <c r="G183" s="5">
        <v>623</v>
      </c>
      <c r="H183" s="5">
        <v>1.6051364365971101E-3</v>
      </c>
      <c r="I183" s="5">
        <v>50</v>
      </c>
      <c r="J183" s="5">
        <v>0.02</v>
      </c>
      <c r="K183" s="5">
        <v>2.1605136436597099E-2</v>
      </c>
      <c r="P183" s="5">
        <f>LN(F183)</f>
        <v>0</v>
      </c>
    </row>
    <row r="184" spans="1:17" s="5" customFormat="1" x14ac:dyDescent="0.25">
      <c r="A184" s="5">
        <v>183</v>
      </c>
      <c r="B184" s="5">
        <v>163</v>
      </c>
      <c r="C184" s="5" t="s">
        <v>27</v>
      </c>
      <c r="D184" s="5" t="s">
        <v>28</v>
      </c>
      <c r="F184" s="5">
        <v>530</v>
      </c>
      <c r="G184" s="5">
        <v>614</v>
      </c>
      <c r="H184" s="5">
        <v>0.86319218241042395</v>
      </c>
      <c r="I184" s="5">
        <v>586</v>
      </c>
      <c r="J184" s="5">
        <v>0.90443686006825896</v>
      </c>
      <c r="K184" s="5">
        <v>1.76762904247868</v>
      </c>
      <c r="L184" s="5">
        <v>217</v>
      </c>
      <c r="M184" s="5">
        <v>0.85433070866141703</v>
      </c>
      <c r="N184" s="5">
        <v>0.939393939393939</v>
      </c>
      <c r="O184" s="5">
        <v>1.7937246480553599</v>
      </c>
      <c r="P184" s="5">
        <f>LN(F184)</f>
        <v>6.2728770065461674</v>
      </c>
      <c r="Q184" s="5">
        <f>LN(L184)</f>
        <v>5.3798973535404597</v>
      </c>
    </row>
    <row r="185" spans="1:17" s="5" customFormat="1" x14ac:dyDescent="0.25">
      <c r="A185" s="5">
        <v>184</v>
      </c>
      <c r="B185" s="5">
        <v>132</v>
      </c>
      <c r="C185" s="5" t="s">
        <v>27</v>
      </c>
      <c r="D185" s="5" t="s">
        <v>43</v>
      </c>
      <c r="F185" s="5">
        <v>47</v>
      </c>
      <c r="G185" s="5">
        <v>614</v>
      </c>
      <c r="H185" s="5">
        <v>7.6547231270358299E-2</v>
      </c>
      <c r="I185" s="5">
        <v>50</v>
      </c>
      <c r="J185" s="5">
        <v>0.94</v>
      </c>
      <c r="K185" s="5">
        <v>1.0165472312703601</v>
      </c>
      <c r="L185" s="5">
        <v>23</v>
      </c>
      <c r="M185" s="5">
        <v>9.0551181102362197E-2</v>
      </c>
      <c r="N185" s="5">
        <v>0.95833333333333304</v>
      </c>
      <c r="O185" s="5">
        <v>1.0488845144357</v>
      </c>
      <c r="P185" s="5">
        <f>LN(F185)</f>
        <v>3.8501476017100584</v>
      </c>
      <c r="Q185" s="5">
        <f>LN(L185)</f>
        <v>3.1354942159291497</v>
      </c>
    </row>
    <row r="186" spans="1:17" s="5" customFormat="1" x14ac:dyDescent="0.25">
      <c r="A186" s="5">
        <v>185</v>
      </c>
      <c r="B186" s="5">
        <v>161</v>
      </c>
      <c r="C186" s="5" t="s">
        <v>27</v>
      </c>
      <c r="D186" s="5" t="s">
        <v>45</v>
      </c>
      <c r="F186" s="5">
        <v>18</v>
      </c>
      <c r="G186" s="5">
        <v>614</v>
      </c>
      <c r="H186" s="5">
        <v>2.9315960912052099E-2</v>
      </c>
      <c r="I186" s="5">
        <v>19</v>
      </c>
      <c r="J186" s="5">
        <v>0.94736842105263197</v>
      </c>
      <c r="K186" s="5">
        <v>0.97668438196468399</v>
      </c>
      <c r="L186" s="5">
        <v>7</v>
      </c>
      <c r="M186" s="5">
        <v>2.7559055118110201E-2</v>
      </c>
      <c r="N186" s="5">
        <v>0.875</v>
      </c>
      <c r="O186" s="5">
        <v>0.90255905511810997</v>
      </c>
      <c r="P186" s="5">
        <f>LN(F186)</f>
        <v>2.8903717578961645</v>
      </c>
      <c r="Q186" s="5">
        <f>LN(L186)</f>
        <v>1.9459101490553132</v>
      </c>
    </row>
    <row r="187" spans="1:17" s="5" customFormat="1" x14ac:dyDescent="0.25">
      <c r="A187" s="5">
        <v>186</v>
      </c>
      <c r="B187" s="5">
        <v>82</v>
      </c>
      <c r="C187" s="5" t="s">
        <v>27</v>
      </c>
      <c r="D187" s="5" t="s">
        <v>46</v>
      </c>
      <c r="F187" s="5">
        <v>6</v>
      </c>
      <c r="G187" s="5">
        <v>614</v>
      </c>
      <c r="H187" s="5">
        <v>9.77198697068404E-3</v>
      </c>
      <c r="I187" s="5">
        <v>220</v>
      </c>
      <c r="J187" s="5">
        <v>2.7272727272727299E-2</v>
      </c>
      <c r="K187" s="5">
        <v>3.7044714243411297E-2</v>
      </c>
      <c r="L187" s="5">
        <v>2</v>
      </c>
      <c r="M187" s="5">
        <v>7.8740157480314994E-3</v>
      </c>
      <c r="N187" s="5">
        <v>2.53164556962025E-2</v>
      </c>
      <c r="O187" s="5">
        <v>3.3190471444234003E-2</v>
      </c>
      <c r="P187" s="5">
        <f>LN(F187)</f>
        <v>1.791759469228055</v>
      </c>
      <c r="Q187" s="5">
        <f>LN(L187)</f>
        <v>0.69314718055994529</v>
      </c>
    </row>
    <row r="188" spans="1:17" s="5" customFormat="1" x14ac:dyDescent="0.25">
      <c r="A188" s="5">
        <v>187</v>
      </c>
      <c r="B188" s="5">
        <v>128</v>
      </c>
      <c r="C188" s="5" t="s">
        <v>27</v>
      </c>
      <c r="D188" s="5" t="s">
        <v>29</v>
      </c>
      <c r="F188" s="5">
        <v>6</v>
      </c>
      <c r="G188" s="5">
        <v>614</v>
      </c>
      <c r="H188" s="5">
        <v>9.77198697068404E-3</v>
      </c>
      <c r="I188" s="5">
        <v>5305</v>
      </c>
      <c r="J188" s="5">
        <v>1.1310084825636199E-3</v>
      </c>
      <c r="K188" s="5">
        <v>1.09029954532477E-2</v>
      </c>
      <c r="L188" s="5">
        <v>2</v>
      </c>
      <c r="M188" s="5">
        <v>7.8740157480314994E-3</v>
      </c>
      <c r="N188" s="5">
        <v>1.70212765957447E-3</v>
      </c>
      <c r="O188" s="5">
        <v>9.5761434076059599E-3</v>
      </c>
      <c r="P188" s="5">
        <f>LN(F188)</f>
        <v>1.791759469228055</v>
      </c>
      <c r="Q188" s="5">
        <f>LN(L188)</f>
        <v>0.69314718055994529</v>
      </c>
    </row>
    <row r="189" spans="1:17" s="5" customFormat="1" x14ac:dyDescent="0.25">
      <c r="A189" s="5">
        <v>188</v>
      </c>
      <c r="B189" s="5">
        <v>95</v>
      </c>
      <c r="C189" s="5" t="s">
        <v>27</v>
      </c>
      <c r="D189" s="5" t="s">
        <v>40</v>
      </c>
      <c r="F189" s="5">
        <v>3</v>
      </c>
      <c r="G189" s="5">
        <v>614</v>
      </c>
      <c r="H189" s="5">
        <v>4.88599348534202E-3</v>
      </c>
      <c r="I189" s="5">
        <v>879</v>
      </c>
      <c r="J189" s="5">
        <v>3.4129692832764501E-3</v>
      </c>
      <c r="K189" s="5">
        <v>8.2989627686184692E-3</v>
      </c>
      <c r="L189" s="5">
        <v>1</v>
      </c>
      <c r="M189" s="5">
        <v>3.9370078740157497E-3</v>
      </c>
      <c r="N189" s="5">
        <v>3.7174721189591098E-3</v>
      </c>
      <c r="O189" s="5">
        <v>7.6544799929748599E-3</v>
      </c>
      <c r="P189" s="5">
        <f>LN(F189)</f>
        <v>1.0986122886681098</v>
      </c>
      <c r="Q189" s="5">
        <f>LN(L189)</f>
        <v>0</v>
      </c>
    </row>
    <row r="190" spans="1:17" s="5" customFormat="1" x14ac:dyDescent="0.25">
      <c r="A190" s="5">
        <v>189</v>
      </c>
      <c r="B190" s="5">
        <v>63</v>
      </c>
      <c r="C190" s="5" t="s">
        <v>27</v>
      </c>
      <c r="D190" s="5" t="s">
        <v>21</v>
      </c>
      <c r="F190" s="5">
        <v>2</v>
      </c>
      <c r="G190" s="5">
        <v>614</v>
      </c>
      <c r="H190" s="5">
        <v>3.2573289902280101E-3</v>
      </c>
      <c r="I190" s="5">
        <v>13644</v>
      </c>
      <c r="J190" s="5">
        <v>1.4658457930225699E-4</v>
      </c>
      <c r="K190" s="5">
        <v>3.4039135695302699E-3</v>
      </c>
      <c r="L190" s="5">
        <v>1</v>
      </c>
      <c r="M190" s="5">
        <v>3.9370078740157497E-3</v>
      </c>
      <c r="N190" s="5">
        <v>2.9154518950437301E-4</v>
      </c>
      <c r="O190" s="5">
        <v>4.2285530635201201E-3</v>
      </c>
      <c r="P190" s="5">
        <f>LN(F190)</f>
        <v>0.69314718055994529</v>
      </c>
      <c r="Q190" s="5">
        <f>LN(L190)</f>
        <v>0</v>
      </c>
    </row>
    <row r="191" spans="1:17" s="5" customFormat="1" x14ac:dyDescent="0.25">
      <c r="A191" s="3">
        <v>190</v>
      </c>
      <c r="B191" s="3">
        <v>149</v>
      </c>
      <c r="C191" s="3" t="s">
        <v>27</v>
      </c>
      <c r="D191" s="3" t="s">
        <v>35</v>
      </c>
      <c r="E191" s="3" t="s">
        <v>63</v>
      </c>
      <c r="F191" s="3">
        <v>1</v>
      </c>
      <c r="G191" s="3">
        <v>614</v>
      </c>
      <c r="H191" s="3">
        <v>1.6286644951140101E-3</v>
      </c>
      <c r="I191" s="3">
        <v>2533</v>
      </c>
      <c r="J191" s="3">
        <v>3.9478878799842099E-4</v>
      </c>
      <c r="K191" s="3">
        <v>2.0234532831124299E-3</v>
      </c>
      <c r="L191" s="3"/>
      <c r="M191" s="3"/>
      <c r="N191" s="3"/>
      <c r="O191" s="3"/>
      <c r="P191" s="3">
        <f>LN(F191)</f>
        <v>0</v>
      </c>
      <c r="Q191" s="3"/>
    </row>
    <row r="192" spans="1:17" s="5" customFormat="1" x14ac:dyDescent="0.25">
      <c r="A192" s="4">
        <v>191</v>
      </c>
      <c r="B192" s="4">
        <v>182</v>
      </c>
      <c r="C192" s="4" t="s">
        <v>27</v>
      </c>
      <c r="D192" s="4" t="s">
        <v>33</v>
      </c>
      <c r="E192" s="4" t="s">
        <v>61</v>
      </c>
      <c r="F192" s="4">
        <v>1</v>
      </c>
      <c r="G192" s="4">
        <v>614</v>
      </c>
      <c r="H192" s="4">
        <v>1.6286644951140101E-3</v>
      </c>
      <c r="I192" s="4">
        <v>4779</v>
      </c>
      <c r="J192" s="4">
        <v>2.09248796819418E-4</v>
      </c>
      <c r="K192" s="4">
        <v>1.83791329193342E-3</v>
      </c>
      <c r="L192" s="4">
        <v>1</v>
      </c>
      <c r="M192" s="4">
        <v>3.9370078740157497E-3</v>
      </c>
      <c r="N192" s="4">
        <v>1.67224080267559E-3</v>
      </c>
      <c r="O192" s="4">
        <v>5.6092486766913304E-3</v>
      </c>
      <c r="P192" s="4">
        <f>LN(F192)</f>
        <v>0</v>
      </c>
      <c r="Q192" s="4">
        <f>LN(L192)</f>
        <v>0</v>
      </c>
    </row>
    <row r="193" spans="1:17" s="5" customFormat="1" x14ac:dyDescent="0.25">
      <c r="A193" s="5">
        <v>192</v>
      </c>
      <c r="B193" s="5">
        <v>187</v>
      </c>
      <c r="C193" s="5" t="s">
        <v>42</v>
      </c>
      <c r="D193" s="5" t="s">
        <v>42</v>
      </c>
      <c r="F193" s="5">
        <v>209</v>
      </c>
      <c r="G193" s="5">
        <v>214</v>
      </c>
      <c r="H193" s="5">
        <v>0.97663551401869197</v>
      </c>
      <c r="I193" s="5">
        <v>3128</v>
      </c>
      <c r="J193" s="5">
        <v>6.6815856777493604E-2</v>
      </c>
      <c r="K193" s="5">
        <v>1.0434513707961901</v>
      </c>
      <c r="L193" s="5">
        <v>17</v>
      </c>
      <c r="M193" s="5">
        <v>1</v>
      </c>
      <c r="N193" s="5">
        <v>3.7362637362637403E-2</v>
      </c>
      <c r="O193" s="5">
        <v>1.0373626373626399</v>
      </c>
      <c r="P193" s="5">
        <f>LN(F193)</f>
        <v>5.3423342519648109</v>
      </c>
      <c r="Q193" s="5">
        <f>LN(L193)</f>
        <v>2.8332133440562162</v>
      </c>
    </row>
    <row r="194" spans="1:17" s="5" customFormat="1" x14ac:dyDescent="0.25">
      <c r="A194" s="5">
        <v>193</v>
      </c>
      <c r="B194" s="5">
        <v>179</v>
      </c>
      <c r="C194" s="5" t="s">
        <v>42</v>
      </c>
      <c r="D194" s="5" t="s">
        <v>33</v>
      </c>
      <c r="F194" s="5">
        <v>2</v>
      </c>
      <c r="G194" s="5">
        <v>214</v>
      </c>
      <c r="H194" s="5">
        <v>9.3457943925233603E-3</v>
      </c>
      <c r="I194" s="5">
        <v>4779</v>
      </c>
      <c r="J194" s="5">
        <v>4.1849759363883702E-4</v>
      </c>
      <c r="K194" s="5">
        <v>9.7642919861622001E-3</v>
      </c>
      <c r="P194" s="5">
        <f>LN(F194)</f>
        <v>0.69314718055994529</v>
      </c>
    </row>
    <row r="195" spans="1:17" s="5" customFormat="1" x14ac:dyDescent="0.25">
      <c r="A195" s="5">
        <v>194</v>
      </c>
      <c r="B195" s="5">
        <v>20</v>
      </c>
      <c r="C195" s="5" t="s">
        <v>42</v>
      </c>
      <c r="D195" s="5" t="s">
        <v>57</v>
      </c>
      <c r="F195" s="5">
        <v>1</v>
      </c>
      <c r="G195" s="5">
        <v>214</v>
      </c>
      <c r="H195" s="5">
        <v>4.6728971962616802E-3</v>
      </c>
      <c r="I195" s="5">
        <v>113</v>
      </c>
      <c r="J195" s="5">
        <v>8.8495575221238902E-3</v>
      </c>
      <c r="K195" s="5">
        <v>1.3522454718385601E-2</v>
      </c>
      <c r="P195" s="5">
        <f>LN(F195)</f>
        <v>0</v>
      </c>
    </row>
    <row r="196" spans="1:17" s="5" customFormat="1" x14ac:dyDescent="0.25">
      <c r="A196" s="5">
        <v>195</v>
      </c>
      <c r="B196" s="5">
        <v>99</v>
      </c>
      <c r="C196" s="5" t="s">
        <v>42</v>
      </c>
      <c r="D196" s="5" t="s">
        <v>40</v>
      </c>
      <c r="F196" s="5">
        <v>1</v>
      </c>
      <c r="G196" s="5">
        <v>214</v>
      </c>
      <c r="H196" s="5">
        <v>4.6728971962616802E-3</v>
      </c>
      <c r="I196" s="5">
        <v>879</v>
      </c>
      <c r="J196" s="5">
        <v>1.13765642775882E-3</v>
      </c>
      <c r="K196" s="5">
        <v>5.8105536240204998E-3</v>
      </c>
      <c r="P196" s="5">
        <f>LN(F196)</f>
        <v>0</v>
      </c>
    </row>
    <row r="197" spans="1:17" s="5" customFormat="1" x14ac:dyDescent="0.25">
      <c r="A197" s="5">
        <v>196</v>
      </c>
      <c r="B197" s="5">
        <v>150</v>
      </c>
      <c r="C197" s="5" t="s">
        <v>42</v>
      </c>
      <c r="D197" s="5" t="s">
        <v>35</v>
      </c>
      <c r="F197" s="5">
        <v>1</v>
      </c>
      <c r="G197" s="5">
        <v>214</v>
      </c>
      <c r="H197" s="5">
        <v>4.6728971962616802E-3</v>
      </c>
      <c r="I197" s="5">
        <v>2533</v>
      </c>
      <c r="J197" s="5">
        <v>3.9478878799842099E-4</v>
      </c>
      <c r="K197" s="5">
        <v>5.0676859842601002E-3</v>
      </c>
      <c r="P197" s="5">
        <f>LN(F197)</f>
        <v>0</v>
      </c>
    </row>
  </sheetData>
  <sortState xmlns:xlrd2="http://schemas.microsoft.com/office/spreadsheetml/2017/richdata2" ref="A2:Q197">
    <sortCondition ref="A2:A1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archInterp_summary1c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RUDOLF CESARETTI</cp:lastModifiedBy>
  <dcterms:created xsi:type="dcterms:W3CDTF">2025-03-06T03:36:27Z</dcterms:created>
  <dcterms:modified xsi:type="dcterms:W3CDTF">2025-03-06T03:36:27Z</dcterms:modified>
</cp:coreProperties>
</file>